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AXXION_SYSTEM_\_docs\trim_02\Contextualizacion Proyecto\"/>
    </mc:Choice>
  </mc:AlternateContent>
  <xr:revisionPtr revIDLastSave="0" documentId="13_ncr:1_{B9F563D7-75AB-4282-AF34-36FDF17EF6CD}" xr6:coauthVersionLast="47" xr6:coauthVersionMax="47" xr10:uidLastSave="{00000000-0000-0000-0000-000000000000}"/>
  <bookViews>
    <workbookView xWindow="-108" yWindow="-108" windowWidth="23256" windowHeight="13896" activeTab="1" xr2:uid="{BDBCAF2D-A385-4AA0-8577-99B6B885FDBE}"/>
  </bookViews>
  <sheets>
    <sheet name="Hoja1" sheetId="1" r:id="rId1"/>
    <sheet name="Cronograma de Actividades" sheetId="2" r:id="rId2"/>
  </sheets>
  <definedNames>
    <definedName name="_xlnm._FilterDatabase" localSheetId="1" hidden="1">'Cronograma de Actividades'!$A$11:$K$58</definedName>
    <definedName name="_xlnm.Print_Area" localSheetId="1">'Cronograma de Actividades'!$A$1:$BP$58</definedName>
    <definedName name="prevWBS" localSheetId="1">'Cronograma de Actividades'!$A1048576</definedName>
    <definedName name="_xlnm.Print_Titles" localSheetId="1">'Cronograma de Actividades'!$1:$7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K13" i="2"/>
  <c r="K14" i="2"/>
  <c r="K15" i="2"/>
  <c r="K16" i="2"/>
  <c r="K28" i="2"/>
  <c r="K29" i="2"/>
  <c r="K30" i="2"/>
  <c r="K31" i="2"/>
  <c r="K32" i="2"/>
  <c r="K24" i="2"/>
  <c r="K25" i="2"/>
  <c r="K26" i="2"/>
  <c r="K27" i="2"/>
  <c r="K23" i="2"/>
  <c r="M10" i="2"/>
  <c r="M8" i="2" s="1"/>
  <c r="K17" i="2"/>
  <c r="K18" i="2"/>
  <c r="K19" i="2"/>
  <c r="K20" i="2"/>
  <c r="K21" i="2"/>
  <c r="K22" i="2"/>
  <c r="M11" i="2" l="1"/>
  <c r="M9" i="2"/>
  <c r="N10" i="2"/>
  <c r="O10" i="2" l="1"/>
  <c r="N11" i="2"/>
  <c r="P10" i="2" l="1"/>
  <c r="O11" i="2"/>
  <c r="Q10" i="2" l="1"/>
  <c r="P11" i="2"/>
  <c r="R10" i="2" l="1"/>
  <c r="Q11" i="2"/>
  <c r="S10" i="2" l="1"/>
  <c r="R11" i="2"/>
  <c r="T10" i="2" l="1"/>
  <c r="S11" i="2"/>
  <c r="T8" i="2" l="1"/>
  <c r="U10" i="2"/>
  <c r="T9" i="2"/>
  <c r="T11" i="2"/>
  <c r="U11" i="2" l="1"/>
  <c r="V10" i="2"/>
  <c r="V11" i="2" l="1"/>
  <c r="W10" i="2"/>
  <c r="W11" i="2" l="1"/>
  <c r="X10" i="2"/>
  <c r="X11" i="2" l="1"/>
  <c r="Y10" i="2"/>
  <c r="Y11" i="2" l="1"/>
  <c r="Z10" i="2"/>
  <c r="Z11" i="2" l="1"/>
  <c r="AA10" i="2"/>
  <c r="AA8" i="2" l="1"/>
  <c r="AA11" i="2"/>
  <c r="AB10" i="2"/>
  <c r="AA9" i="2"/>
  <c r="AB11" i="2" l="1"/>
  <c r="AC10" i="2"/>
  <c r="AD10" i="2" l="1"/>
  <c r="AC11" i="2"/>
  <c r="AE10" i="2" l="1"/>
  <c r="AD11" i="2"/>
  <c r="AF10" i="2" l="1"/>
  <c r="AE11" i="2"/>
  <c r="AG10" i="2" l="1"/>
  <c r="AF11" i="2"/>
  <c r="AH10" i="2" l="1"/>
  <c r="AG11" i="2"/>
  <c r="AH8" i="2" l="1"/>
  <c r="AI10" i="2"/>
  <c r="AH11" i="2"/>
  <c r="AH9" i="2"/>
  <c r="AJ10" i="2" l="1"/>
  <c r="AI11" i="2"/>
  <c r="AK10" i="2" l="1"/>
  <c r="AJ11" i="2"/>
  <c r="AK11" i="2" l="1"/>
  <c r="AL10" i="2"/>
  <c r="AL11" i="2" l="1"/>
  <c r="AM10" i="2"/>
  <c r="AM11" i="2" l="1"/>
  <c r="AN10" i="2"/>
  <c r="AN11" i="2" l="1"/>
  <c r="AO10" i="2"/>
  <c r="AO8" i="2" l="1"/>
  <c r="AO11" i="2"/>
  <c r="AO9" i="2"/>
  <c r="AP10" i="2"/>
  <c r="AP11" i="2" l="1"/>
  <c r="AQ10" i="2"/>
  <c r="AQ11" i="2" l="1"/>
  <c r="AR10" i="2"/>
  <c r="AR11" i="2" l="1"/>
  <c r="AS10" i="2"/>
  <c r="AT10" i="2" l="1"/>
  <c r="AS11" i="2"/>
  <c r="AU10" i="2" l="1"/>
  <c r="AT11" i="2"/>
  <c r="AV10" i="2" l="1"/>
  <c r="AU11" i="2"/>
  <c r="AW10" i="2" l="1"/>
  <c r="AV8" i="2"/>
  <c r="AV11" i="2"/>
  <c r="AV9" i="2"/>
  <c r="AX10" i="2" l="1"/>
  <c r="AW11" i="2"/>
  <c r="AY10" i="2" l="1"/>
  <c r="AX11" i="2"/>
  <c r="AZ10" i="2" l="1"/>
  <c r="AY11" i="2"/>
  <c r="AZ11" i="2" l="1"/>
  <c r="BA10" i="2"/>
  <c r="BA11" i="2" l="1"/>
  <c r="BB10" i="2"/>
  <c r="BB11" i="2" l="1"/>
  <c r="BC10" i="2"/>
  <c r="BC11" i="2" l="1"/>
  <c r="BC8" i="2"/>
  <c r="BD10" i="2"/>
  <c r="BC9" i="2"/>
  <c r="BD11" i="2" l="1"/>
  <c r="BE10" i="2"/>
  <c r="BE11" i="2" l="1"/>
  <c r="BF10" i="2"/>
  <c r="BF11" i="2" l="1"/>
  <c r="BG10" i="2"/>
  <c r="BG11" i="2" l="1"/>
  <c r="BH10" i="2"/>
  <c r="BH11" i="2" l="1"/>
  <c r="BI10" i="2"/>
  <c r="BJ10" i="2" l="1"/>
  <c r="BI11" i="2"/>
  <c r="BK10" i="2" l="1"/>
  <c r="BJ8" i="2"/>
  <c r="BJ9" i="2"/>
  <c r="BJ11" i="2"/>
  <c r="BL10" i="2" l="1"/>
  <c r="BK11" i="2"/>
  <c r="BM10" i="2" l="1"/>
  <c r="BL11" i="2"/>
  <c r="BN10" i="2" l="1"/>
  <c r="BM11" i="2"/>
  <c r="BO10" i="2" l="1"/>
  <c r="BN11" i="2"/>
  <c r="BP10" i="2" l="1"/>
  <c r="BP11" i="2" s="1"/>
  <c r="BO11" i="2"/>
</calcChain>
</file>

<file path=xl/sharedStrings.xml><?xml version="1.0" encoding="utf-8"?>
<sst xmlns="http://schemas.openxmlformats.org/spreadsheetml/2006/main" count="70" uniqueCount="60">
  <si>
    <t>LAB</t>
  </si>
  <si>
    <t>%</t>
  </si>
  <si>
    <t>FIN</t>
  </si>
  <si>
    <t>INICIO</t>
  </si>
  <si>
    <t>PREDECESSOR</t>
  </si>
  <si>
    <t>RESPONSABLE</t>
  </si>
  <si>
    <t>EVIDENCIA</t>
  </si>
  <si>
    <t>ACTIVIDAD</t>
  </si>
  <si>
    <t>Cristian Camilo Cifuentes Gaona</t>
  </si>
  <si>
    <t>Líder del Proyecto</t>
  </si>
  <si>
    <t>Fecha Inicio Proyecto</t>
  </si>
  <si>
    <t>Cronograma de Actividades</t>
  </si>
  <si>
    <t>AXXION SYSTEM</t>
  </si>
  <si>
    <t>OBJ ESPECIFICOS</t>
  </si>
  <si>
    <t>TAREA</t>
  </si>
  <si>
    <t>VER</t>
  </si>
  <si>
    <t>Navegadores y sus proveedores</t>
  </si>
  <si>
    <t>Base de datos y su version</t>
  </si>
  <si>
    <t>Backend(Lenguaje[version] y framework[version])</t>
  </si>
  <si>
    <t>Frontend(Lenguaje[version] y framework[version])</t>
  </si>
  <si>
    <t>Plantear las actividades de construccion del software</t>
  </si>
  <si>
    <t>Construir la base de datos</t>
  </si>
  <si>
    <t>Codificar las APIs del modulo usuarios</t>
  </si>
  <si>
    <t>Stack Tecnologico</t>
  </si>
  <si>
    <t>Diagrama de Despliegue</t>
  </si>
  <si>
    <t>Estandar de codificacion</t>
  </si>
  <si>
    <t>Script Base de Datos</t>
  </si>
  <si>
    <t>Script Sentencias DDL DB</t>
  </si>
  <si>
    <t>Script Insercion DML DB (Una tabla)</t>
  </si>
  <si>
    <t>Script Consulta DML DB (Una tabla)</t>
  </si>
  <si>
    <t>Script Consulta Multitablas</t>
  </si>
  <si>
    <t>La API del Modulo Usuarios</t>
  </si>
  <si>
    <t>Plataformas de Servicios IT: AWS, Asure, Google Cloud</t>
  </si>
  <si>
    <t>Selccionar la Arquitectura de Sftware</t>
  </si>
  <si>
    <t>Seleccionar el Patron Arquitectonico</t>
  </si>
  <si>
    <t>Diseñar el Diagrama de Despliegue</t>
  </si>
  <si>
    <t>Proponer el Documento de Codficacion</t>
  </si>
  <si>
    <t>Desarrollar Script Sentencias DDL DB</t>
  </si>
  <si>
    <t>Desarrollar Script Base de Datos</t>
  </si>
  <si>
    <t>Desarrollar Script Insercion DML DB (Una tabla)</t>
  </si>
  <si>
    <t>Desarrollar Script Consulta DML DB (Una tabla)</t>
  </si>
  <si>
    <t>Desarrollar Script Consulta Multitablas</t>
  </si>
  <si>
    <t>Desarrollar View, Triggers y Procedures</t>
  </si>
  <si>
    <t>Script  View, Triggers  y  Procedures</t>
  </si>
  <si>
    <t>Iniciar y Cerrar Sesion</t>
  </si>
  <si>
    <t>Registrar Usuario</t>
  </si>
  <si>
    <t>Consultar Usuario</t>
  </si>
  <si>
    <t>Consultar Todos los Usuarios</t>
  </si>
  <si>
    <t>Actualizar Usuario</t>
  </si>
  <si>
    <t>Eliminar Usuario</t>
  </si>
  <si>
    <t>Julian Andres Vargas</t>
  </si>
  <si>
    <t>Cristian Camilo Cifuentes</t>
  </si>
  <si>
    <t>Desarrollar Usuarios</t>
  </si>
  <si>
    <t>Desarrollar Inventario</t>
  </si>
  <si>
    <t>Desarrollar Categorías</t>
  </si>
  <si>
    <t>Desarrollar Subcategorías</t>
  </si>
  <si>
    <t>Desarrollar Alquiler</t>
  </si>
  <si>
    <t>Desarrollar Mantenimiento</t>
  </si>
  <si>
    <t>Desarrollar Alertas</t>
  </si>
  <si>
    <t>Desarrollar Reportes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</si>
</sst>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d\ dd/mm/yy"/>
    <numFmt numFmtId="165" formatCode="d"/>
    <numFmt numFmtId="166" formatCode="d\ mmm\ yyyy"/>
    <numFmt numFmtId="167" formatCode="m/d/yyyy\ \(dddd\)"/>
    <numFmt numFmtId="168" formatCode="d/m/yyyy\ \(dddd\)"/>
  </numFmts>
  <fonts count="17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rial Narrow"/>
      <family val="2"/>
    </font>
    <font>
      <sz val="11"/>
      <name val="Arial Narrow"/>
      <family val="2"/>
    </font>
    <font>
      <sz val="10"/>
      <name val="Arial Narrow"/>
      <family val="2"/>
    </font>
    <font>
      <sz val="14"/>
      <name val="Arial Narrow"/>
      <family val="2"/>
    </font>
    <font>
      <sz val="16"/>
      <name val="Arial Narrow"/>
      <family val="2"/>
    </font>
    <font>
      <b/>
      <sz val="11"/>
      <name val="Arial Narrow"/>
      <family val="2"/>
    </font>
    <font>
      <b/>
      <sz val="8"/>
      <name val="Arial Narrow"/>
      <family val="2"/>
    </font>
    <font>
      <sz val="12"/>
      <name val="Arial Narrow"/>
      <family val="2"/>
    </font>
    <font>
      <u/>
      <sz val="10"/>
      <color indexed="12"/>
      <name val="Arial"/>
      <family val="2"/>
    </font>
    <font>
      <u/>
      <sz val="11"/>
      <color indexed="12"/>
      <name val="Arial Narrow"/>
      <family val="2"/>
    </font>
    <font>
      <sz val="11"/>
      <color indexed="55"/>
      <name val="Arial Narrow"/>
      <family val="2"/>
    </font>
    <font>
      <sz val="11"/>
      <color theme="1"/>
      <name val="Arial Narrow"/>
      <family val="2"/>
    </font>
    <font>
      <sz val="16"/>
      <color theme="1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D6F4D9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22"/>
      </left>
      <right style="medium">
        <color theme="0" tint="-0.1499679555650502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1499679555650502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thin">
        <color indexed="22"/>
      </left>
      <right style="medium">
        <color theme="0" tint="-0.14996795556505021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medium">
        <color theme="0" tint="-0.14996795556505021"/>
      </right>
      <top/>
      <bottom style="medium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34998626667073579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medium">
        <color theme="0" tint="-0.34998626667073579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24994659260841701"/>
      </left>
      <right style="medium">
        <color theme="0" tint="-0.1499679555650502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medium">
        <color theme="0" tint="-0.14996795556505021"/>
      </right>
      <top/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/>
      <right style="medium">
        <color theme="0" tint="-0.14996795556505021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9" fontId="2" fillId="2" borderId="1" xfId="1" applyFont="1" applyFill="1" applyBorder="1" applyAlignment="1" applyProtection="1">
      <alignment horizontal="center" vertical="center" wrapText="1"/>
    </xf>
    <xf numFmtId="0" fontId="3" fillId="0" borderId="0" xfId="2" applyFont="1"/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right"/>
    </xf>
    <xf numFmtId="0" fontId="4" fillId="0" borderId="0" xfId="2" applyFont="1" applyAlignment="1">
      <alignment vertical="center" wrapText="1"/>
    </xf>
    <xf numFmtId="0" fontId="4" fillId="0" borderId="2" xfId="2" applyFont="1" applyBorder="1" applyAlignment="1">
      <alignment horizontal="left" vertical="center" wrapText="1"/>
    </xf>
    <xf numFmtId="0" fontId="4" fillId="0" borderId="3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1" fontId="2" fillId="0" borderId="5" xfId="2" applyNumberFormat="1" applyFont="1" applyBorder="1" applyAlignment="1">
      <alignment horizontal="center" vertical="center" wrapText="1"/>
    </xf>
    <xf numFmtId="1" fontId="2" fillId="0" borderId="6" xfId="2" applyNumberFormat="1" applyFont="1" applyBorder="1" applyAlignment="1">
      <alignment horizontal="center" vertical="center" wrapText="1"/>
    </xf>
    <xf numFmtId="164" fontId="2" fillId="0" borderId="1" xfId="2" applyNumberFormat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5" fillId="0" borderId="0" xfId="2" applyFont="1" applyAlignment="1">
      <alignment vertical="center"/>
    </xf>
    <xf numFmtId="164" fontId="2" fillId="3" borderId="1" xfId="2" applyNumberFormat="1" applyFont="1" applyFill="1" applyBorder="1" applyAlignment="1">
      <alignment horizontal="center" vertical="center" wrapText="1"/>
    </xf>
    <xf numFmtId="0" fontId="6" fillId="0" borderId="0" xfId="2" applyFont="1" applyAlignment="1">
      <alignment vertical="center"/>
    </xf>
    <xf numFmtId="0" fontId="4" fillId="0" borderId="7" xfId="2" applyFont="1" applyBorder="1" applyAlignment="1">
      <alignment horizontal="left" vertical="center" wrapText="1"/>
    </xf>
    <xf numFmtId="1" fontId="2" fillId="0" borderId="8" xfId="2" applyNumberFormat="1" applyFont="1" applyBorder="1" applyAlignment="1">
      <alignment horizontal="center" vertical="center" wrapText="1"/>
    </xf>
    <xf numFmtId="164" fontId="2" fillId="0" borderId="9" xfId="2" applyNumberFormat="1" applyFont="1" applyBorder="1" applyAlignment="1">
      <alignment horizontal="center" vertical="center" wrapText="1"/>
    </xf>
    <xf numFmtId="1" fontId="2" fillId="0" borderId="10" xfId="2" applyNumberFormat="1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left" vertical="center" wrapText="1"/>
    </xf>
    <xf numFmtId="0" fontId="4" fillId="0" borderId="12" xfId="2" applyFont="1" applyBorder="1" applyAlignment="1">
      <alignment horizontal="left" vertical="center" wrapText="1"/>
    </xf>
    <xf numFmtId="0" fontId="4" fillId="0" borderId="13" xfId="2" applyFont="1" applyBorder="1" applyAlignment="1">
      <alignment horizontal="left" vertical="center" wrapText="1"/>
    </xf>
    <xf numFmtId="1" fontId="2" fillId="0" borderId="14" xfId="2" applyNumberFormat="1" applyFont="1" applyBorder="1" applyAlignment="1">
      <alignment horizontal="center" vertical="center" wrapText="1"/>
    </xf>
    <xf numFmtId="9" fontId="4" fillId="0" borderId="3" xfId="2" applyNumberFormat="1" applyFont="1" applyBorder="1" applyAlignment="1">
      <alignment horizontal="left" vertical="center" wrapText="1"/>
    </xf>
    <xf numFmtId="0" fontId="3" fillId="0" borderId="15" xfId="2" applyFont="1" applyBorder="1" applyAlignment="1">
      <alignment horizontal="center" vertical="center" shrinkToFit="1"/>
    </xf>
    <xf numFmtId="0" fontId="3" fillId="0" borderId="16" xfId="2" applyFont="1" applyBorder="1" applyAlignment="1">
      <alignment horizontal="center" vertical="center" shrinkToFit="1"/>
    </xf>
    <xf numFmtId="0" fontId="3" fillId="0" borderId="17" xfId="2" applyFont="1" applyBorder="1" applyAlignment="1">
      <alignment horizontal="center" vertical="center" shrinkToFit="1"/>
    </xf>
    <xf numFmtId="0" fontId="3" fillId="0" borderId="18" xfId="2" applyFont="1" applyBorder="1" applyAlignment="1">
      <alignment horizontal="center" vertical="center" shrinkToFit="1"/>
    </xf>
    <xf numFmtId="0" fontId="7" fillId="0" borderId="19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165" fontId="3" fillId="0" borderId="20" xfId="2" applyNumberFormat="1" applyFont="1" applyBorder="1" applyAlignment="1">
      <alignment horizontal="center" vertical="center" shrinkToFit="1"/>
    </xf>
    <xf numFmtId="165" fontId="3" fillId="0" borderId="21" xfId="2" applyNumberFormat="1" applyFont="1" applyBorder="1" applyAlignment="1">
      <alignment horizontal="center" vertical="center" shrinkToFit="1"/>
    </xf>
    <xf numFmtId="165" fontId="3" fillId="0" borderId="22" xfId="2" applyNumberFormat="1" applyFont="1" applyBorder="1" applyAlignment="1">
      <alignment horizontal="center" vertical="center" shrinkToFit="1"/>
    </xf>
    <xf numFmtId="165" fontId="3" fillId="0" borderId="23" xfId="2" applyNumberFormat="1" applyFont="1" applyBorder="1" applyAlignment="1">
      <alignment horizontal="center" vertical="center" shrinkToFit="1"/>
    </xf>
    <xf numFmtId="167" fontId="3" fillId="0" borderId="24" xfId="2" applyNumberFormat="1" applyFont="1" applyBorder="1" applyAlignment="1" applyProtection="1">
      <alignment horizontal="center" vertical="center" shrinkToFit="1"/>
      <protection locked="0"/>
    </xf>
    <xf numFmtId="0" fontId="7" fillId="0" borderId="0" xfId="2" applyFont="1" applyAlignment="1">
      <alignment horizontal="right" vertical="center"/>
    </xf>
    <xf numFmtId="0" fontId="3" fillId="0" borderId="25" xfId="2" applyFont="1" applyBorder="1" applyAlignment="1" applyProtection="1">
      <alignment horizontal="center" vertical="center"/>
      <protection locked="0"/>
    </xf>
    <xf numFmtId="168" fontId="3" fillId="0" borderId="25" xfId="2" applyNumberFormat="1" applyFont="1" applyBorder="1" applyAlignment="1" applyProtection="1">
      <alignment horizontal="center" vertical="center" shrinkToFit="1"/>
      <protection locked="0"/>
    </xf>
    <xf numFmtId="0" fontId="3" fillId="0" borderId="26" xfId="2" applyFont="1" applyBorder="1"/>
    <xf numFmtId="0" fontId="11" fillId="0" borderId="0" xfId="3" applyFont="1" applyBorder="1" applyAlignment="1" applyProtection="1">
      <alignment horizontal="left"/>
    </xf>
    <xf numFmtId="0" fontId="3" fillId="4" borderId="0" xfId="2" applyFont="1" applyFill="1"/>
    <xf numFmtId="0" fontId="3" fillId="0" borderId="0" xfId="2" applyFont="1" applyAlignment="1" applyProtection="1">
      <alignment horizontal="right" vertical="center"/>
      <protection locked="0"/>
    </xf>
    <xf numFmtId="0" fontId="12" fillId="0" borderId="0" xfId="2" applyFont="1" applyAlignment="1" applyProtection="1">
      <alignment horizontal="center"/>
      <protection locked="0"/>
    </xf>
    <xf numFmtId="0" fontId="11" fillId="4" borderId="0" xfId="3" applyNumberFormat="1" applyFont="1" applyFill="1" applyBorder="1" applyAlignment="1" applyProtection="1">
      <alignment horizontal="right"/>
      <protection locked="0"/>
    </xf>
    <xf numFmtId="0" fontId="3" fillId="0" borderId="0" xfId="2" applyFont="1" applyAlignment="1" applyProtection="1">
      <alignment horizontal="center"/>
      <protection locked="0"/>
    </xf>
    <xf numFmtId="0" fontId="3" fillId="0" borderId="0" xfId="2" applyFont="1" applyAlignment="1" applyProtection="1">
      <alignment horizontal="left"/>
      <protection locked="0"/>
    </xf>
    <xf numFmtId="0" fontId="3" fillId="0" borderId="0" xfId="2" applyFont="1" applyProtection="1">
      <protection locked="0"/>
    </xf>
    <xf numFmtId="0" fontId="3" fillId="0" borderId="0" xfId="2" applyFont="1" applyAlignment="1" applyProtection="1">
      <alignment horizontal="left" vertical="center"/>
      <protection locked="0"/>
    </xf>
    <xf numFmtId="0" fontId="13" fillId="0" borderId="0" xfId="0" applyFont="1"/>
    <xf numFmtId="0" fontId="13" fillId="0" borderId="2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7" fillId="0" borderId="0" xfId="2" applyFont="1" applyAlignment="1">
      <alignment horizontal="center" vertical="center"/>
    </xf>
    <xf numFmtId="0" fontId="4" fillId="2" borderId="33" xfId="2" applyFont="1" applyFill="1" applyBorder="1" applyAlignment="1">
      <alignment horizontal="center" vertical="center" wrapText="1"/>
    </xf>
    <xf numFmtId="0" fontId="4" fillId="2" borderId="31" xfId="2" applyFont="1" applyFill="1" applyBorder="1" applyAlignment="1">
      <alignment horizontal="center" vertical="center" wrapText="1"/>
    </xf>
    <xf numFmtId="0" fontId="4" fillId="2" borderId="34" xfId="2" applyFont="1" applyFill="1" applyBorder="1" applyAlignment="1">
      <alignment horizontal="center" vertical="center" wrapText="1"/>
    </xf>
    <xf numFmtId="0" fontId="4" fillId="2" borderId="9" xfId="2" applyFont="1" applyFill="1" applyBorder="1" applyAlignment="1">
      <alignment horizontal="center" vertical="center" wrapText="1"/>
    </xf>
    <xf numFmtId="0" fontId="4" fillId="0" borderId="35" xfId="2" applyFont="1" applyBorder="1" applyAlignment="1">
      <alignment horizontal="center" vertical="center" wrapText="1"/>
    </xf>
    <xf numFmtId="0" fontId="4" fillId="2" borderId="36" xfId="2" applyFont="1" applyFill="1" applyBorder="1" applyAlignment="1">
      <alignment horizontal="center" vertical="center" wrapText="1"/>
    </xf>
    <xf numFmtId="0" fontId="4" fillId="2" borderId="37" xfId="2" applyFont="1" applyFill="1" applyBorder="1" applyAlignment="1">
      <alignment horizontal="center" vertical="center" wrapText="1"/>
    </xf>
    <xf numFmtId="0" fontId="4" fillId="2" borderId="38" xfId="2" applyFont="1" applyFill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31" xfId="2" applyFont="1" applyBorder="1" applyAlignment="1">
      <alignment horizontal="center" vertical="center" wrapText="1"/>
    </xf>
    <xf numFmtId="0" fontId="4" fillId="0" borderId="32" xfId="2" applyFont="1" applyBorder="1" applyAlignment="1">
      <alignment horizontal="center" vertical="center" wrapText="1"/>
    </xf>
    <xf numFmtId="0" fontId="4" fillId="0" borderId="34" xfId="2" applyFont="1" applyBorder="1" applyAlignment="1">
      <alignment horizontal="center" vertical="center" wrapText="1"/>
    </xf>
    <xf numFmtId="0" fontId="4" fillId="0" borderId="33" xfId="2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26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166" fontId="3" fillId="0" borderId="22" xfId="2" applyNumberFormat="1" applyFont="1" applyBorder="1" applyAlignment="1">
      <alignment horizontal="center" vertical="center"/>
    </xf>
    <xf numFmtId="166" fontId="3" fillId="0" borderId="21" xfId="2" applyNumberFormat="1" applyFont="1" applyBorder="1" applyAlignment="1">
      <alignment horizontal="center" vertical="center"/>
    </xf>
    <xf numFmtId="166" fontId="3" fillId="0" borderId="23" xfId="2" applyNumberFormat="1" applyFont="1" applyBorder="1" applyAlignment="1">
      <alignment horizontal="center" vertical="center"/>
    </xf>
    <xf numFmtId="166" fontId="3" fillId="0" borderId="20" xfId="2" applyNumberFormat="1" applyFont="1" applyBorder="1" applyAlignment="1">
      <alignment horizontal="center" vertical="center"/>
    </xf>
    <xf numFmtId="0" fontId="3" fillId="0" borderId="27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28" xfId="2" applyFont="1" applyBorder="1" applyAlignment="1">
      <alignment horizontal="center" vertical="center"/>
    </xf>
    <xf numFmtId="0" fontId="3" fillId="0" borderId="26" xfId="2" applyFont="1" applyBorder="1" applyAlignment="1">
      <alignment horizontal="center" vertical="center"/>
    </xf>
    <xf numFmtId="0" fontId="7" fillId="0" borderId="25" xfId="2" applyFont="1" applyBorder="1" applyAlignment="1">
      <alignment horizontal="left" vertical="center"/>
    </xf>
    <xf numFmtId="168" fontId="9" fillId="0" borderId="25" xfId="2" applyNumberFormat="1" applyFont="1" applyBorder="1" applyAlignment="1" applyProtection="1">
      <alignment horizontal="left" vertical="center" shrinkToFit="1"/>
      <protection locked="0"/>
    </xf>
    <xf numFmtId="0" fontId="4" fillId="2" borderId="39" xfId="2" applyFont="1" applyFill="1" applyBorder="1" applyAlignment="1">
      <alignment horizontal="center" vertical="center" wrapText="1"/>
    </xf>
    <xf numFmtId="0" fontId="4" fillId="2" borderId="40" xfId="2" applyFont="1" applyFill="1" applyBorder="1" applyAlignment="1">
      <alignment horizontal="center" vertical="center" wrapText="1"/>
    </xf>
  </cellXfs>
  <cellStyles count="4">
    <cellStyle name="Hipervínculo" xfId="3" builtinId="8"/>
    <cellStyle name="Normal" xfId="0" builtinId="0"/>
    <cellStyle name="Normal 3" xfId="2" xr:uid="{828731EF-DEDB-48D1-8144-5B7C32E33A1A}"/>
    <cellStyle name="Porcentaje 2" xfId="1" xr:uid="{00741852-C4E4-46D9-A43B-309F55E52EAE}"/>
  </cellStyles>
  <dxfs count="7"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croll" dx="22" fmlaLink="$J$8" horiz="1" max="100" min="1" page="0" val="42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078160" y="1382486"/>
    <xdr:ext cx="3530495" cy="1061281"/>
    <xdr:sp macro="" textlink="">
      <xdr:nvSpPr>
        <xdr:cNvPr id="2" name="Text Box 44" hidden="1">
          <a:extLst>
            <a:ext uri="{FF2B5EF4-FFF2-40B4-BE49-F238E27FC236}">
              <a16:creationId xmlns:a16="http://schemas.microsoft.com/office/drawing/2014/main" id="{0B8AFCC1-3572-41AE-80FA-B972887A9471}"/>
            </a:ext>
          </a:extLst>
        </xdr:cNvPr>
        <xdr:cNvSpPr txBox="1">
          <a:spLocks noChangeArrowheads="1"/>
        </xdr:cNvSpPr>
      </xdr:nvSpPr>
      <xdr:spPr bwMode="auto">
        <a:xfrm>
          <a:off x="5078160" y="1382486"/>
          <a:ext cx="3530495" cy="1061281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absolute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99060</xdr:colOff>
          <xdr:row>5</xdr:row>
          <xdr:rowOff>68580</xdr:rowOff>
        </xdr:from>
        <xdr:to>
          <xdr:col>29</xdr:col>
          <xdr:colOff>152400</xdr:colOff>
          <xdr:row>6</xdr:row>
          <xdr:rowOff>68580</xdr:rowOff>
        </xdr:to>
        <xdr:sp macro="" textlink="">
          <xdr:nvSpPr>
            <xdr:cNvPr id="2049" name="Scroll Ba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oneCellAnchor>
    <xdr:from>
      <xdr:col>0</xdr:col>
      <xdr:colOff>42334</xdr:colOff>
      <xdr:row>1</xdr:row>
      <xdr:rowOff>67733</xdr:rowOff>
    </xdr:from>
    <xdr:ext cx="742392" cy="405331"/>
    <xdr:pic>
      <xdr:nvPicPr>
        <xdr:cNvPr id="3" name="Imagen 2">
          <a:extLst>
            <a:ext uri="{FF2B5EF4-FFF2-40B4-BE49-F238E27FC236}">
              <a16:creationId xmlns:a16="http://schemas.microsoft.com/office/drawing/2014/main" id="{C1EAE59B-79F8-41D5-9E95-D1F37B2AD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334" y="127000"/>
          <a:ext cx="742392" cy="405331"/>
        </a:xfrm>
        <a:prstGeom prst="ellipse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4B3B-3072-48EE-99FA-97477B8F540B}">
  <dimension ref="A1"/>
  <sheetViews>
    <sheetView workbookViewId="0"/>
  </sheetViews>
  <sheetFormatPr baseColWidth="10" defaultRowHeight="14.4"/>
  <sheetData>
    <row r="1" spans="1:1">
      <c r="A1" s="1">
        <v>1</v>
      </c>
    </row>
  </sheetData>
  <conditionalFormatting sqref="A1">
    <cfRule type="dataBar" priority="1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{258995C1-7162-4B1C-8FFF-841EBA0FE14D}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8995C1-7162-4B1C-8FFF-841EBA0FE1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4967-FDB6-458B-85C4-3A56431CCBEA}">
  <dimension ref="A1:BQ60"/>
  <sheetViews>
    <sheetView showGridLines="0" tabSelected="1" zoomScale="55" zoomScaleNormal="55" workbookViewId="0">
      <pane ySplit="11" topLeftCell="A12" activePane="bottomLeft" state="frozen"/>
      <selection pane="bottomLeft" activeCell="AA18" sqref="AA18"/>
    </sheetView>
  </sheetViews>
  <sheetFormatPr baseColWidth="10" defaultColWidth="9.109375" defaultRowHeight="13.8"/>
  <cols>
    <col min="1" max="1" width="21.33203125" style="5" bestFit="1" customWidth="1"/>
    <col min="2" max="2" width="50.6640625" style="2" customWidth="1"/>
    <col min="3" max="3" width="10.6640625" style="3" customWidth="1"/>
    <col min="4" max="4" width="25.77734375" style="3" bestFit="1" customWidth="1"/>
    <col min="5" max="5" width="18.77734375" style="4" bestFit="1" customWidth="1"/>
    <col min="6" max="6" width="28.88671875" style="3" customWidth="1"/>
    <col min="7" max="7" width="6.88671875" style="2" hidden="1" customWidth="1"/>
    <col min="8" max="9" width="12.6640625" style="3" customWidth="1"/>
    <col min="10" max="11" width="5.6640625" style="2" customWidth="1"/>
    <col min="12" max="12" width="1.88671875" style="2" hidden="1" customWidth="1"/>
    <col min="13" max="68" width="2.44140625" style="2" customWidth="1"/>
    <col min="69" max="16384" width="9.109375" style="2"/>
  </cols>
  <sheetData>
    <row r="1" spans="1:68" s="54" customFormat="1" ht="5.0999999999999996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</row>
    <row r="2" spans="1:68" s="57" customFormat="1" ht="20.399999999999999">
      <c r="A2" s="73" t="s">
        <v>12</v>
      </c>
      <c r="B2" s="73"/>
      <c r="C2" s="73"/>
      <c r="D2" s="73"/>
      <c r="E2" s="73"/>
      <c r="F2" s="73"/>
      <c r="G2" s="72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4"/>
    </row>
    <row r="3" spans="1:68" s="57" customFormat="1" ht="20.399999999999999">
      <c r="A3" s="73" t="s">
        <v>11</v>
      </c>
      <c r="B3" s="73"/>
      <c r="C3" s="73"/>
      <c r="D3" s="73"/>
      <c r="E3" s="73"/>
      <c r="F3" s="73"/>
      <c r="G3" s="72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4"/>
    </row>
    <row r="4" spans="1:68" s="54" customFormat="1" ht="5.0999999999999996" customHeight="1" thickBo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6"/>
    </row>
    <row r="5" spans="1:68" s="54" customFormat="1" ht="5.0999999999999996" customHeight="1" thickTop="1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5"/>
    </row>
    <row r="6" spans="1:68" ht="18" customHeight="1">
      <c r="A6" s="53"/>
      <c r="B6" s="52"/>
      <c r="C6" s="50"/>
      <c r="D6" s="50"/>
      <c r="E6" s="51"/>
      <c r="F6" s="50"/>
      <c r="G6" s="49"/>
      <c r="H6" s="48"/>
      <c r="I6" s="48"/>
      <c r="J6" s="46"/>
      <c r="BP6" s="44"/>
    </row>
    <row r="7" spans="1:68" ht="12" customHeight="1">
      <c r="A7" s="47"/>
      <c r="J7" s="46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BP7" s="44"/>
    </row>
    <row r="8" spans="1:68" ht="17.25" customHeight="1">
      <c r="B8" s="41" t="s">
        <v>10</v>
      </c>
      <c r="C8" s="86">
        <v>45580</v>
      </c>
      <c r="D8" s="86"/>
      <c r="E8" s="86"/>
      <c r="F8" s="43"/>
      <c r="G8" s="43"/>
      <c r="J8" s="42">
        <v>42</v>
      </c>
      <c r="M8" s="81" t="str">
        <f>"Semana "&amp;(M10-($C$8-WEEKDAY($C$8,1)+2))/7+1</f>
        <v>Semana 42</v>
      </c>
      <c r="N8" s="82"/>
      <c r="O8" s="82"/>
      <c r="P8" s="82"/>
      <c r="Q8" s="82"/>
      <c r="R8" s="82"/>
      <c r="S8" s="83"/>
      <c r="T8" s="81" t="str">
        <f>"Semana "&amp;(T10-($C$8-WEEKDAY($C$8,1)+2))/7+1</f>
        <v>Semana 43</v>
      </c>
      <c r="U8" s="82"/>
      <c r="V8" s="82"/>
      <c r="W8" s="82"/>
      <c r="X8" s="82"/>
      <c r="Y8" s="82"/>
      <c r="Z8" s="83"/>
      <c r="AA8" s="81" t="str">
        <f>"Semana "&amp;(AA10-($C$8-WEEKDAY($C$8,1)+2))/7+1</f>
        <v>Semana 44</v>
      </c>
      <c r="AB8" s="82"/>
      <c r="AC8" s="82"/>
      <c r="AD8" s="82"/>
      <c r="AE8" s="82"/>
      <c r="AF8" s="82"/>
      <c r="AG8" s="83"/>
      <c r="AH8" s="81" t="str">
        <f>"Semana "&amp;(AH10-($C$8-WEEKDAY($C$8,1)+2))/7+1</f>
        <v>Semana 45</v>
      </c>
      <c r="AI8" s="82"/>
      <c r="AJ8" s="82"/>
      <c r="AK8" s="82"/>
      <c r="AL8" s="82"/>
      <c r="AM8" s="82"/>
      <c r="AN8" s="83"/>
      <c r="AO8" s="81" t="str">
        <f>"Semana "&amp;(AO10-($C$8-WEEKDAY($C$8,1)+2))/7+1</f>
        <v>Semana 46</v>
      </c>
      <c r="AP8" s="82"/>
      <c r="AQ8" s="82"/>
      <c r="AR8" s="82"/>
      <c r="AS8" s="82"/>
      <c r="AT8" s="82"/>
      <c r="AU8" s="83"/>
      <c r="AV8" s="81" t="str">
        <f>"Semana "&amp;(AV10-($C$8-WEEKDAY($C$8,1)+2))/7+1</f>
        <v>Semana 47</v>
      </c>
      <c r="AW8" s="82"/>
      <c r="AX8" s="82"/>
      <c r="AY8" s="82"/>
      <c r="AZ8" s="82"/>
      <c r="BA8" s="82"/>
      <c r="BB8" s="83"/>
      <c r="BC8" s="81" t="str">
        <f>"Semana "&amp;(BC10-($C$8-WEEKDAY($C$8,1)+2))/7+1</f>
        <v>Semana 48</v>
      </c>
      <c r="BD8" s="82"/>
      <c r="BE8" s="82"/>
      <c r="BF8" s="82"/>
      <c r="BG8" s="82"/>
      <c r="BH8" s="82"/>
      <c r="BI8" s="83"/>
      <c r="BJ8" s="81" t="str">
        <f>"Semana "&amp;(BJ10-($C$8-WEEKDAY($C$8,1)+2))/7+1</f>
        <v>Semana 49</v>
      </c>
      <c r="BK8" s="82"/>
      <c r="BL8" s="82"/>
      <c r="BM8" s="82"/>
      <c r="BN8" s="82"/>
      <c r="BO8" s="82"/>
      <c r="BP8" s="84"/>
    </row>
    <row r="9" spans="1:68" ht="17.25" customHeight="1">
      <c r="B9" s="41" t="s">
        <v>9</v>
      </c>
      <c r="C9" s="85" t="s">
        <v>8</v>
      </c>
      <c r="D9" s="85"/>
      <c r="E9" s="85"/>
      <c r="F9" s="40"/>
      <c r="G9" s="40"/>
      <c r="M9" s="77">
        <f>M10</f>
        <v>45866</v>
      </c>
      <c r="N9" s="78"/>
      <c r="O9" s="78"/>
      <c r="P9" s="78"/>
      <c r="Q9" s="78"/>
      <c r="R9" s="78"/>
      <c r="S9" s="79"/>
      <c r="T9" s="77">
        <f>T10</f>
        <v>45873</v>
      </c>
      <c r="U9" s="78"/>
      <c r="V9" s="78"/>
      <c r="W9" s="78"/>
      <c r="X9" s="78"/>
      <c r="Y9" s="78"/>
      <c r="Z9" s="79"/>
      <c r="AA9" s="77">
        <f>AA10</f>
        <v>45880</v>
      </c>
      <c r="AB9" s="78"/>
      <c r="AC9" s="78"/>
      <c r="AD9" s="78"/>
      <c r="AE9" s="78"/>
      <c r="AF9" s="78"/>
      <c r="AG9" s="79"/>
      <c r="AH9" s="77">
        <f>AH10</f>
        <v>45887</v>
      </c>
      <c r="AI9" s="78"/>
      <c r="AJ9" s="78"/>
      <c r="AK9" s="78"/>
      <c r="AL9" s="78"/>
      <c r="AM9" s="78"/>
      <c r="AN9" s="79"/>
      <c r="AO9" s="77">
        <f>AO10</f>
        <v>45894</v>
      </c>
      <c r="AP9" s="78"/>
      <c r="AQ9" s="78"/>
      <c r="AR9" s="78"/>
      <c r="AS9" s="78"/>
      <c r="AT9" s="78"/>
      <c r="AU9" s="79"/>
      <c r="AV9" s="77">
        <f>AV10</f>
        <v>45901</v>
      </c>
      <c r="AW9" s="78"/>
      <c r="AX9" s="78"/>
      <c r="AY9" s="78"/>
      <c r="AZ9" s="78"/>
      <c r="BA9" s="78"/>
      <c r="BB9" s="79"/>
      <c r="BC9" s="77">
        <f>BC10</f>
        <v>45908</v>
      </c>
      <c r="BD9" s="78"/>
      <c r="BE9" s="78"/>
      <c r="BF9" s="78"/>
      <c r="BG9" s="78"/>
      <c r="BH9" s="78"/>
      <c r="BI9" s="79"/>
      <c r="BJ9" s="77">
        <f>BJ10</f>
        <v>45915</v>
      </c>
      <c r="BK9" s="78"/>
      <c r="BL9" s="78"/>
      <c r="BM9" s="78"/>
      <c r="BN9" s="78"/>
      <c r="BO9" s="78"/>
      <c r="BP9" s="80"/>
    </row>
    <row r="10" spans="1:68">
      <c r="M10" s="38">
        <f>C8-WEEKDAY(C8,1)+2+7*(J8-1)</f>
        <v>45866</v>
      </c>
      <c r="N10" s="37">
        <f t="shared" ref="N10:AS10" si="0">M10+1</f>
        <v>45867</v>
      </c>
      <c r="O10" s="37">
        <f t="shared" si="0"/>
        <v>45868</v>
      </c>
      <c r="P10" s="37">
        <f t="shared" si="0"/>
        <v>45869</v>
      </c>
      <c r="Q10" s="37">
        <f t="shared" si="0"/>
        <v>45870</v>
      </c>
      <c r="R10" s="37">
        <f t="shared" si="0"/>
        <v>45871</v>
      </c>
      <c r="S10" s="39">
        <f t="shared" si="0"/>
        <v>45872</v>
      </c>
      <c r="T10" s="38">
        <f t="shared" si="0"/>
        <v>45873</v>
      </c>
      <c r="U10" s="37">
        <f t="shared" si="0"/>
        <v>45874</v>
      </c>
      <c r="V10" s="37">
        <f t="shared" si="0"/>
        <v>45875</v>
      </c>
      <c r="W10" s="37">
        <f t="shared" si="0"/>
        <v>45876</v>
      </c>
      <c r="X10" s="37">
        <f t="shared" si="0"/>
        <v>45877</v>
      </c>
      <c r="Y10" s="37">
        <f t="shared" si="0"/>
        <v>45878</v>
      </c>
      <c r="Z10" s="39">
        <f t="shared" si="0"/>
        <v>45879</v>
      </c>
      <c r="AA10" s="38">
        <f t="shared" si="0"/>
        <v>45880</v>
      </c>
      <c r="AB10" s="37">
        <f t="shared" si="0"/>
        <v>45881</v>
      </c>
      <c r="AC10" s="37">
        <f t="shared" si="0"/>
        <v>45882</v>
      </c>
      <c r="AD10" s="37">
        <f t="shared" si="0"/>
        <v>45883</v>
      </c>
      <c r="AE10" s="37">
        <f t="shared" si="0"/>
        <v>45884</v>
      </c>
      <c r="AF10" s="37">
        <f t="shared" si="0"/>
        <v>45885</v>
      </c>
      <c r="AG10" s="39">
        <f t="shared" si="0"/>
        <v>45886</v>
      </c>
      <c r="AH10" s="38">
        <f t="shared" si="0"/>
        <v>45887</v>
      </c>
      <c r="AI10" s="37">
        <f t="shared" si="0"/>
        <v>45888</v>
      </c>
      <c r="AJ10" s="37">
        <f t="shared" si="0"/>
        <v>45889</v>
      </c>
      <c r="AK10" s="37">
        <f t="shared" si="0"/>
        <v>45890</v>
      </c>
      <c r="AL10" s="37">
        <f t="shared" si="0"/>
        <v>45891</v>
      </c>
      <c r="AM10" s="37">
        <f t="shared" si="0"/>
        <v>45892</v>
      </c>
      <c r="AN10" s="39">
        <f t="shared" si="0"/>
        <v>45893</v>
      </c>
      <c r="AO10" s="38">
        <f t="shared" si="0"/>
        <v>45894</v>
      </c>
      <c r="AP10" s="37">
        <f t="shared" si="0"/>
        <v>45895</v>
      </c>
      <c r="AQ10" s="37">
        <f t="shared" si="0"/>
        <v>45896</v>
      </c>
      <c r="AR10" s="37">
        <f t="shared" si="0"/>
        <v>45897</v>
      </c>
      <c r="AS10" s="37">
        <f t="shared" si="0"/>
        <v>45898</v>
      </c>
      <c r="AT10" s="37">
        <f t="shared" ref="AT10:BP10" si="1">AS10+1</f>
        <v>45899</v>
      </c>
      <c r="AU10" s="39">
        <f t="shared" si="1"/>
        <v>45900</v>
      </c>
      <c r="AV10" s="38">
        <f t="shared" si="1"/>
        <v>45901</v>
      </c>
      <c r="AW10" s="37">
        <f t="shared" si="1"/>
        <v>45902</v>
      </c>
      <c r="AX10" s="37">
        <f t="shared" si="1"/>
        <v>45903</v>
      </c>
      <c r="AY10" s="37">
        <f t="shared" si="1"/>
        <v>45904</v>
      </c>
      <c r="AZ10" s="37">
        <f t="shared" si="1"/>
        <v>45905</v>
      </c>
      <c r="BA10" s="37">
        <f t="shared" si="1"/>
        <v>45906</v>
      </c>
      <c r="BB10" s="39">
        <f t="shared" si="1"/>
        <v>45907</v>
      </c>
      <c r="BC10" s="38">
        <f t="shared" si="1"/>
        <v>45908</v>
      </c>
      <c r="BD10" s="37">
        <f t="shared" si="1"/>
        <v>45909</v>
      </c>
      <c r="BE10" s="37">
        <f t="shared" si="1"/>
        <v>45910</v>
      </c>
      <c r="BF10" s="37">
        <f t="shared" si="1"/>
        <v>45911</v>
      </c>
      <c r="BG10" s="37">
        <f t="shared" si="1"/>
        <v>45912</v>
      </c>
      <c r="BH10" s="37">
        <f t="shared" si="1"/>
        <v>45913</v>
      </c>
      <c r="BI10" s="39">
        <f t="shared" si="1"/>
        <v>45914</v>
      </c>
      <c r="BJ10" s="38">
        <f t="shared" si="1"/>
        <v>45915</v>
      </c>
      <c r="BK10" s="37">
        <f t="shared" si="1"/>
        <v>45916</v>
      </c>
      <c r="BL10" s="37">
        <f t="shared" si="1"/>
        <v>45917</v>
      </c>
      <c r="BM10" s="37">
        <f t="shared" si="1"/>
        <v>45918</v>
      </c>
      <c r="BN10" s="37">
        <f t="shared" si="1"/>
        <v>45919</v>
      </c>
      <c r="BO10" s="37">
        <f t="shared" si="1"/>
        <v>45920</v>
      </c>
      <c r="BP10" s="36">
        <f t="shared" si="1"/>
        <v>45921</v>
      </c>
    </row>
    <row r="11" spans="1:68" ht="39.9" customHeight="1" thickBot="1">
      <c r="A11" s="34" t="s">
        <v>13</v>
      </c>
      <c r="B11" s="58" t="s">
        <v>7</v>
      </c>
      <c r="C11" s="35" t="s">
        <v>6</v>
      </c>
      <c r="D11" s="33" t="s">
        <v>6</v>
      </c>
      <c r="E11" s="33" t="s">
        <v>5</v>
      </c>
      <c r="F11" s="33" t="s">
        <v>14</v>
      </c>
      <c r="G11" s="33" t="s">
        <v>4</v>
      </c>
      <c r="H11" s="34" t="s">
        <v>3</v>
      </c>
      <c r="I11" s="34" t="s">
        <v>2</v>
      </c>
      <c r="J11" s="33" t="s">
        <v>1</v>
      </c>
      <c r="K11" s="33" t="s">
        <v>0</v>
      </c>
      <c r="L11" s="33"/>
      <c r="M11" s="31" t="str">
        <f t="shared" ref="M11:AR11" si="2">CHOOSE(WEEKDAY(M10,1),"D","L","M","W","J","V","S")</f>
        <v>L</v>
      </c>
      <c r="N11" s="30" t="str">
        <f t="shared" si="2"/>
        <v>M</v>
      </c>
      <c r="O11" s="30" t="str">
        <f t="shared" si="2"/>
        <v>W</v>
      </c>
      <c r="P11" s="30" t="str">
        <f t="shared" si="2"/>
        <v>J</v>
      </c>
      <c r="Q11" s="30" t="str">
        <f t="shared" si="2"/>
        <v>V</v>
      </c>
      <c r="R11" s="30" t="str">
        <f t="shared" si="2"/>
        <v>S</v>
      </c>
      <c r="S11" s="32" t="str">
        <f t="shared" si="2"/>
        <v>D</v>
      </c>
      <c r="T11" s="31" t="str">
        <f t="shared" si="2"/>
        <v>L</v>
      </c>
      <c r="U11" s="30" t="str">
        <f t="shared" si="2"/>
        <v>M</v>
      </c>
      <c r="V11" s="30" t="str">
        <f t="shared" si="2"/>
        <v>W</v>
      </c>
      <c r="W11" s="30" t="str">
        <f t="shared" si="2"/>
        <v>J</v>
      </c>
      <c r="X11" s="30" t="str">
        <f t="shared" si="2"/>
        <v>V</v>
      </c>
      <c r="Y11" s="30" t="str">
        <f t="shared" si="2"/>
        <v>S</v>
      </c>
      <c r="Z11" s="32" t="str">
        <f t="shared" si="2"/>
        <v>D</v>
      </c>
      <c r="AA11" s="31" t="str">
        <f t="shared" si="2"/>
        <v>L</v>
      </c>
      <c r="AB11" s="30" t="str">
        <f t="shared" si="2"/>
        <v>M</v>
      </c>
      <c r="AC11" s="30" t="str">
        <f t="shared" si="2"/>
        <v>W</v>
      </c>
      <c r="AD11" s="30" t="str">
        <f t="shared" si="2"/>
        <v>J</v>
      </c>
      <c r="AE11" s="30" t="str">
        <f t="shared" si="2"/>
        <v>V</v>
      </c>
      <c r="AF11" s="30" t="str">
        <f t="shared" si="2"/>
        <v>S</v>
      </c>
      <c r="AG11" s="32" t="str">
        <f t="shared" si="2"/>
        <v>D</v>
      </c>
      <c r="AH11" s="31" t="str">
        <f t="shared" si="2"/>
        <v>L</v>
      </c>
      <c r="AI11" s="30" t="str">
        <f t="shared" si="2"/>
        <v>M</v>
      </c>
      <c r="AJ11" s="30" t="str">
        <f t="shared" si="2"/>
        <v>W</v>
      </c>
      <c r="AK11" s="30" t="str">
        <f t="shared" si="2"/>
        <v>J</v>
      </c>
      <c r="AL11" s="30" t="str">
        <f t="shared" si="2"/>
        <v>V</v>
      </c>
      <c r="AM11" s="30" t="str">
        <f t="shared" si="2"/>
        <v>S</v>
      </c>
      <c r="AN11" s="32" t="str">
        <f t="shared" si="2"/>
        <v>D</v>
      </c>
      <c r="AO11" s="31" t="str">
        <f t="shared" si="2"/>
        <v>L</v>
      </c>
      <c r="AP11" s="30" t="str">
        <f t="shared" si="2"/>
        <v>M</v>
      </c>
      <c r="AQ11" s="30" t="str">
        <f t="shared" si="2"/>
        <v>W</v>
      </c>
      <c r="AR11" s="30" t="str">
        <f t="shared" si="2"/>
        <v>J</v>
      </c>
      <c r="AS11" s="30" t="str">
        <f t="shared" ref="AS11:BP11" si="3">CHOOSE(WEEKDAY(AS10,1),"D","L","M","W","J","V","S")</f>
        <v>V</v>
      </c>
      <c r="AT11" s="30" t="str">
        <f t="shared" si="3"/>
        <v>S</v>
      </c>
      <c r="AU11" s="32" t="str">
        <f t="shared" si="3"/>
        <v>D</v>
      </c>
      <c r="AV11" s="31" t="str">
        <f t="shared" si="3"/>
        <v>L</v>
      </c>
      <c r="AW11" s="30" t="str">
        <f t="shared" si="3"/>
        <v>M</v>
      </c>
      <c r="AX11" s="30" t="str">
        <f t="shared" si="3"/>
        <v>W</v>
      </c>
      <c r="AY11" s="30" t="str">
        <f t="shared" si="3"/>
        <v>J</v>
      </c>
      <c r="AZ11" s="30" t="str">
        <f t="shared" si="3"/>
        <v>V</v>
      </c>
      <c r="BA11" s="30" t="str">
        <f t="shared" si="3"/>
        <v>S</v>
      </c>
      <c r="BB11" s="32" t="str">
        <f t="shared" si="3"/>
        <v>D</v>
      </c>
      <c r="BC11" s="31" t="str">
        <f t="shared" si="3"/>
        <v>L</v>
      </c>
      <c r="BD11" s="30" t="str">
        <f t="shared" si="3"/>
        <v>M</v>
      </c>
      <c r="BE11" s="30" t="str">
        <f t="shared" si="3"/>
        <v>W</v>
      </c>
      <c r="BF11" s="30" t="str">
        <f t="shared" si="3"/>
        <v>J</v>
      </c>
      <c r="BG11" s="30" t="str">
        <f t="shared" si="3"/>
        <v>V</v>
      </c>
      <c r="BH11" s="30" t="str">
        <f t="shared" si="3"/>
        <v>S</v>
      </c>
      <c r="BI11" s="32" t="str">
        <f t="shared" si="3"/>
        <v>D</v>
      </c>
      <c r="BJ11" s="31" t="str">
        <f t="shared" si="3"/>
        <v>L</v>
      </c>
      <c r="BK11" s="30" t="str">
        <f t="shared" si="3"/>
        <v>M</v>
      </c>
      <c r="BL11" s="30" t="str">
        <f t="shared" si="3"/>
        <v>W</v>
      </c>
      <c r="BM11" s="30" t="str">
        <f t="shared" si="3"/>
        <v>J</v>
      </c>
      <c r="BN11" s="30" t="str">
        <f t="shared" si="3"/>
        <v>V</v>
      </c>
      <c r="BO11" s="30" t="str">
        <f t="shared" si="3"/>
        <v>S</v>
      </c>
      <c r="BP11" s="29" t="str">
        <f t="shared" si="3"/>
        <v>D</v>
      </c>
    </row>
    <row r="12" spans="1:68" s="6" customFormat="1" ht="55.2" customHeight="1">
      <c r="A12" s="87" t="s">
        <v>52</v>
      </c>
      <c r="B12" s="63" t="s">
        <v>20</v>
      </c>
      <c r="C12" s="64" t="s">
        <v>15</v>
      </c>
      <c r="D12" s="71" t="s">
        <v>23</v>
      </c>
      <c r="E12" s="59" t="s">
        <v>50</v>
      </c>
      <c r="F12" s="15" t="s">
        <v>16</v>
      </c>
      <c r="G12" s="13"/>
      <c r="H12" s="12">
        <v>45874</v>
      </c>
      <c r="I12" s="17">
        <v>45877</v>
      </c>
      <c r="J12" s="1">
        <v>1</v>
      </c>
      <c r="K12" s="11">
        <f t="shared" ref="K12:K32" si="4">IF(OR(I12=0,H12=0)," - ",NETWORKDAYS(H12,I12))</f>
        <v>4</v>
      </c>
      <c r="L12" s="20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9"/>
    </row>
    <row r="13" spans="1:68" s="6" customFormat="1" ht="30" customHeight="1">
      <c r="A13" s="88"/>
      <c r="B13" s="63"/>
      <c r="C13" s="65"/>
      <c r="D13" s="68"/>
      <c r="E13" s="60"/>
      <c r="F13" s="15" t="s">
        <v>17</v>
      </c>
      <c r="G13" s="13"/>
      <c r="H13" s="12">
        <v>45874</v>
      </c>
      <c r="I13" s="17">
        <v>45877</v>
      </c>
      <c r="J13" s="1">
        <v>1</v>
      </c>
      <c r="K13" s="11">
        <f t="shared" si="4"/>
        <v>4</v>
      </c>
      <c r="L13" s="20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9"/>
    </row>
    <row r="14" spans="1:68" s="6" customFormat="1" ht="30" customHeight="1">
      <c r="A14" s="88" t="s">
        <v>53</v>
      </c>
      <c r="B14" s="63"/>
      <c r="C14" s="65"/>
      <c r="D14" s="68"/>
      <c r="E14" s="60"/>
      <c r="F14" s="15" t="s">
        <v>18</v>
      </c>
      <c r="G14" s="13"/>
      <c r="H14" s="12">
        <v>45874</v>
      </c>
      <c r="I14" s="17">
        <v>45877</v>
      </c>
      <c r="J14" s="1">
        <v>1</v>
      </c>
      <c r="K14" s="11">
        <f t="shared" si="4"/>
        <v>4</v>
      </c>
      <c r="L14" s="20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9"/>
    </row>
    <row r="15" spans="1:68" s="6" customFormat="1" ht="30" customHeight="1">
      <c r="A15" s="88"/>
      <c r="B15" s="63"/>
      <c r="C15" s="65"/>
      <c r="D15" s="68"/>
      <c r="E15" s="60"/>
      <c r="F15" s="15" t="s">
        <v>19</v>
      </c>
      <c r="G15" s="13"/>
      <c r="H15" s="12">
        <v>45874</v>
      </c>
      <c r="I15" s="17">
        <v>45877</v>
      </c>
      <c r="J15" s="1">
        <v>1</v>
      </c>
      <c r="K15" s="11">
        <f t="shared" si="4"/>
        <v>4</v>
      </c>
      <c r="L15" s="10"/>
      <c r="M15" s="9"/>
      <c r="N15" s="8"/>
      <c r="O15" s="2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7"/>
    </row>
    <row r="16" spans="1:68" s="6" customFormat="1" ht="30" customHeight="1">
      <c r="A16" s="88"/>
      <c r="B16" s="63"/>
      <c r="C16" s="65"/>
      <c r="D16" s="70"/>
      <c r="E16" s="61"/>
      <c r="F16" s="15" t="s">
        <v>32</v>
      </c>
      <c r="G16" s="23"/>
      <c r="H16" s="12">
        <v>45874</v>
      </c>
      <c r="I16" s="17">
        <v>45877</v>
      </c>
      <c r="J16" s="1">
        <v>1</v>
      </c>
      <c r="K16" s="11">
        <f t="shared" si="4"/>
        <v>4</v>
      </c>
      <c r="L16" s="27"/>
      <c r="M16" s="26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4"/>
    </row>
    <row r="17" spans="1:69" s="6" customFormat="1" ht="30" customHeight="1">
      <c r="A17" s="88" t="s">
        <v>54</v>
      </c>
      <c r="B17" s="63"/>
      <c r="C17" s="65"/>
      <c r="D17" s="67" t="s">
        <v>24</v>
      </c>
      <c r="E17" s="62" t="s">
        <v>51</v>
      </c>
      <c r="F17" s="15" t="s">
        <v>33</v>
      </c>
      <c r="G17" s="13"/>
      <c r="H17" s="12">
        <v>45874</v>
      </c>
      <c r="I17" s="17">
        <v>45877</v>
      </c>
      <c r="J17" s="1">
        <v>1</v>
      </c>
      <c r="K17" s="11">
        <f t="shared" si="4"/>
        <v>4</v>
      </c>
      <c r="L17" s="20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9"/>
    </row>
    <row r="18" spans="1:69" s="6" customFormat="1" ht="30" customHeight="1">
      <c r="A18" s="88"/>
      <c r="B18" s="63"/>
      <c r="C18" s="65"/>
      <c r="D18" s="68"/>
      <c r="E18" s="60"/>
      <c r="F18" s="15" t="s">
        <v>34</v>
      </c>
      <c r="G18" s="13"/>
      <c r="H18" s="12">
        <v>45874</v>
      </c>
      <c r="I18" s="17">
        <v>45877</v>
      </c>
      <c r="J18" s="1">
        <v>1</v>
      </c>
      <c r="K18" s="11">
        <f t="shared" si="4"/>
        <v>4</v>
      </c>
      <c r="L18" s="10"/>
      <c r="M18" s="9"/>
      <c r="N18" s="8"/>
      <c r="O18" s="2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7"/>
    </row>
    <row r="19" spans="1:69" s="6" customFormat="1" ht="30" customHeight="1">
      <c r="A19" s="88"/>
      <c r="B19" s="63"/>
      <c r="C19" s="65"/>
      <c r="D19" s="70"/>
      <c r="E19" s="61"/>
      <c r="F19" s="15" t="s">
        <v>35</v>
      </c>
      <c r="G19" s="23"/>
      <c r="H19" s="12">
        <v>45874</v>
      </c>
      <c r="I19" s="17">
        <v>45877</v>
      </c>
      <c r="J19" s="1">
        <v>1</v>
      </c>
      <c r="K19" s="11">
        <f t="shared" si="4"/>
        <v>4</v>
      </c>
      <c r="L19" s="27"/>
      <c r="M19" s="26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4"/>
    </row>
    <row r="20" spans="1:69" s="6" customFormat="1" ht="30" customHeight="1">
      <c r="A20" s="88" t="s">
        <v>55</v>
      </c>
      <c r="B20" s="63"/>
      <c r="C20" s="65"/>
      <c r="D20" s="15" t="s">
        <v>25</v>
      </c>
      <c r="E20" s="14" t="s">
        <v>51</v>
      </c>
      <c r="F20" s="15" t="s">
        <v>36</v>
      </c>
      <c r="G20" s="13"/>
      <c r="H20" s="12">
        <v>45874</v>
      </c>
      <c r="I20" s="17">
        <v>45877</v>
      </c>
      <c r="J20" s="1">
        <v>1</v>
      </c>
      <c r="K20" s="11">
        <f t="shared" si="4"/>
        <v>4</v>
      </c>
      <c r="L20" s="10"/>
      <c r="M20" s="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7"/>
    </row>
    <row r="21" spans="1:69" s="6" customFormat="1">
      <c r="A21" s="88"/>
      <c r="B21" s="63" t="s">
        <v>21</v>
      </c>
      <c r="C21" s="65"/>
      <c r="D21" s="15" t="s">
        <v>26</v>
      </c>
      <c r="E21" s="14" t="s">
        <v>50</v>
      </c>
      <c r="F21" s="15" t="s">
        <v>38</v>
      </c>
      <c r="G21" s="13"/>
      <c r="H21" s="12">
        <v>45881</v>
      </c>
      <c r="I21" s="17">
        <v>45882</v>
      </c>
      <c r="J21" s="1">
        <v>1</v>
      </c>
      <c r="K21" s="11">
        <f t="shared" si="4"/>
        <v>2</v>
      </c>
      <c r="L21" s="10"/>
      <c r="M21" s="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7"/>
    </row>
    <row r="22" spans="1:69" s="6" customFormat="1">
      <c r="A22" s="88" t="s">
        <v>56</v>
      </c>
      <c r="B22" s="63"/>
      <c r="C22" s="65"/>
      <c r="D22" s="15" t="s">
        <v>27</v>
      </c>
      <c r="E22" s="14" t="s">
        <v>50</v>
      </c>
      <c r="F22" s="15" t="s">
        <v>37</v>
      </c>
      <c r="G22" s="13"/>
      <c r="H22" s="12">
        <v>45883</v>
      </c>
      <c r="I22" s="17">
        <v>45884</v>
      </c>
      <c r="J22" s="1">
        <v>1</v>
      </c>
      <c r="K22" s="11">
        <f t="shared" si="4"/>
        <v>2</v>
      </c>
      <c r="L22" s="10"/>
      <c r="M22" s="9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7"/>
    </row>
    <row r="23" spans="1:69" s="6" customFormat="1" ht="27.6">
      <c r="A23" s="88"/>
      <c r="B23" s="63"/>
      <c r="C23" s="65"/>
      <c r="D23" s="15" t="s">
        <v>28</v>
      </c>
      <c r="E23" s="14" t="s">
        <v>51</v>
      </c>
      <c r="F23" s="15" t="s">
        <v>39</v>
      </c>
      <c r="G23" s="23"/>
      <c r="H23" s="21">
        <v>45888</v>
      </c>
      <c r="I23" s="17">
        <v>45889</v>
      </c>
      <c r="J23" s="1">
        <v>1</v>
      </c>
      <c r="K23" s="22">
        <f t="shared" si="4"/>
        <v>2</v>
      </c>
      <c r="L23" s="20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9"/>
    </row>
    <row r="24" spans="1:69" s="6" customFormat="1" ht="27.6">
      <c r="A24" s="88" t="s">
        <v>57</v>
      </c>
      <c r="B24" s="63"/>
      <c r="C24" s="65"/>
      <c r="D24" s="15" t="s">
        <v>29</v>
      </c>
      <c r="E24" s="14" t="s">
        <v>50</v>
      </c>
      <c r="F24" s="15" t="s">
        <v>40</v>
      </c>
      <c r="G24" s="13"/>
      <c r="H24" s="21">
        <v>45890</v>
      </c>
      <c r="I24" s="17">
        <v>45891</v>
      </c>
      <c r="J24" s="1">
        <v>1</v>
      </c>
      <c r="K24" s="11">
        <f t="shared" si="4"/>
        <v>2</v>
      </c>
      <c r="L24" s="20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9"/>
    </row>
    <row r="25" spans="1:69" s="6" customFormat="1">
      <c r="A25" s="88"/>
      <c r="B25" s="63"/>
      <c r="C25" s="65"/>
      <c r="D25" s="15" t="s">
        <v>30</v>
      </c>
      <c r="E25" s="14" t="s">
        <v>51</v>
      </c>
      <c r="F25" s="15" t="s">
        <v>41</v>
      </c>
      <c r="G25" s="13"/>
      <c r="H25" s="12">
        <v>45895</v>
      </c>
      <c r="I25" s="17">
        <v>45896</v>
      </c>
      <c r="J25" s="1">
        <v>1</v>
      </c>
      <c r="K25" s="11">
        <f t="shared" si="4"/>
        <v>2</v>
      </c>
      <c r="L25" s="20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9"/>
    </row>
    <row r="26" spans="1:69" s="6" customFormat="1" ht="27.6">
      <c r="A26" s="88"/>
      <c r="B26" s="63"/>
      <c r="C26" s="65"/>
      <c r="D26" s="15" t="s">
        <v>43</v>
      </c>
      <c r="E26" s="14" t="s">
        <v>50</v>
      </c>
      <c r="F26" s="15" t="s">
        <v>42</v>
      </c>
      <c r="G26" s="13"/>
      <c r="H26" s="12">
        <v>45897</v>
      </c>
      <c r="I26" s="17">
        <v>45898</v>
      </c>
      <c r="J26" s="1">
        <v>0</v>
      </c>
      <c r="K26" s="11">
        <f t="shared" si="4"/>
        <v>2</v>
      </c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9"/>
    </row>
    <row r="27" spans="1:69" s="6" customFormat="1" ht="30" customHeight="1">
      <c r="A27" s="88" t="s">
        <v>58</v>
      </c>
      <c r="B27" s="63" t="s">
        <v>22</v>
      </c>
      <c r="C27" s="65"/>
      <c r="D27" s="67" t="s">
        <v>31</v>
      </c>
      <c r="E27" s="62" t="s">
        <v>50</v>
      </c>
      <c r="F27" s="15" t="s">
        <v>44</v>
      </c>
      <c r="G27" s="13"/>
      <c r="H27" s="12">
        <v>45902</v>
      </c>
      <c r="I27" s="17">
        <v>45905</v>
      </c>
      <c r="J27" s="1">
        <v>1</v>
      </c>
      <c r="K27" s="11">
        <f t="shared" si="4"/>
        <v>4</v>
      </c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9"/>
    </row>
    <row r="28" spans="1:69" s="18" customFormat="1" ht="30" customHeight="1">
      <c r="A28" s="88"/>
      <c r="B28" s="63"/>
      <c r="C28" s="65"/>
      <c r="D28" s="68"/>
      <c r="E28" s="60"/>
      <c r="F28" s="15" t="s">
        <v>45</v>
      </c>
      <c r="G28" s="13"/>
      <c r="H28" s="12">
        <v>45902</v>
      </c>
      <c r="I28" s="17">
        <v>45905</v>
      </c>
      <c r="J28" s="1">
        <v>1</v>
      </c>
      <c r="K28" s="11">
        <f t="shared" si="4"/>
        <v>4</v>
      </c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9"/>
      <c r="BQ28" s="4"/>
    </row>
    <row r="29" spans="1:69" s="6" customFormat="1" ht="30" customHeight="1">
      <c r="A29" s="88"/>
      <c r="B29" s="63"/>
      <c r="C29" s="65"/>
      <c r="D29" s="68"/>
      <c r="E29" s="60"/>
      <c r="F29" s="15" t="s">
        <v>46</v>
      </c>
      <c r="G29" s="13"/>
      <c r="H29" s="12">
        <v>45902</v>
      </c>
      <c r="I29" s="17">
        <v>45905</v>
      </c>
      <c r="J29" s="1">
        <v>1</v>
      </c>
      <c r="K29" s="11">
        <f t="shared" si="4"/>
        <v>4</v>
      </c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9"/>
      <c r="BQ29" s="4"/>
    </row>
    <row r="30" spans="1:69" s="6" customFormat="1" ht="30" customHeight="1">
      <c r="A30" s="88" t="s">
        <v>59</v>
      </c>
      <c r="B30" s="63"/>
      <c r="C30" s="65"/>
      <c r="D30" s="68"/>
      <c r="E30" s="60" t="s">
        <v>51</v>
      </c>
      <c r="F30" s="15" t="s">
        <v>47</v>
      </c>
      <c r="G30" s="13"/>
      <c r="H30" s="12">
        <v>45902</v>
      </c>
      <c r="I30" s="17">
        <v>45905</v>
      </c>
      <c r="J30" s="1">
        <v>1</v>
      </c>
      <c r="K30" s="11">
        <f t="shared" si="4"/>
        <v>4</v>
      </c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9"/>
      <c r="BQ30" s="4"/>
    </row>
    <row r="31" spans="1:69" s="6" customFormat="1" ht="30" customHeight="1">
      <c r="A31" s="88"/>
      <c r="B31" s="63"/>
      <c r="C31" s="65"/>
      <c r="D31" s="68"/>
      <c r="E31" s="60"/>
      <c r="F31" s="15" t="s">
        <v>48</v>
      </c>
      <c r="G31" s="13"/>
      <c r="H31" s="12">
        <v>45902</v>
      </c>
      <c r="I31" s="17">
        <v>45905</v>
      </c>
      <c r="J31" s="1">
        <v>1</v>
      </c>
      <c r="K31" s="11">
        <f t="shared" si="4"/>
        <v>4</v>
      </c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9"/>
      <c r="BQ31" s="4"/>
    </row>
    <row r="32" spans="1:69" s="6" customFormat="1" ht="30" customHeight="1">
      <c r="A32" s="88"/>
      <c r="B32" s="63"/>
      <c r="C32" s="66"/>
      <c r="D32" s="69"/>
      <c r="E32" s="61"/>
      <c r="F32" s="15" t="s">
        <v>49</v>
      </c>
      <c r="G32" s="13"/>
      <c r="H32" s="12">
        <v>45902</v>
      </c>
      <c r="I32" s="17">
        <v>45905</v>
      </c>
      <c r="J32" s="1">
        <v>1</v>
      </c>
      <c r="K32" s="11">
        <f t="shared" si="4"/>
        <v>4</v>
      </c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9"/>
      <c r="BQ32" s="4"/>
    </row>
    <row r="33" spans="1:69" s="6" customFormat="1" ht="3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4"/>
    </row>
    <row r="34" spans="1:69" s="6" customFormat="1" ht="3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4"/>
    </row>
    <row r="35" spans="1:69" s="6" customFormat="1" ht="3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4"/>
    </row>
    <row r="36" spans="1:69" s="6" customFormat="1" ht="30" customHeight="1">
      <c r="A36" s="5"/>
      <c r="B36" s="2"/>
      <c r="C36" s="3"/>
      <c r="D36" s="3"/>
      <c r="E36" s="4"/>
      <c r="F36" s="3"/>
      <c r="G36" s="2"/>
      <c r="H36" s="3"/>
      <c r="I36" s="3"/>
      <c r="J36" s="2"/>
      <c r="K36" s="2"/>
      <c r="L36" s="5"/>
      <c r="M36" s="2"/>
      <c r="N36" s="3"/>
      <c r="O36" s="3"/>
      <c r="P36" s="3"/>
      <c r="Q36" s="4"/>
      <c r="R36" s="3"/>
      <c r="S36" s="2"/>
      <c r="T36" s="3"/>
      <c r="U36" s="3"/>
      <c r="V36" s="3"/>
      <c r="W36" s="2"/>
      <c r="X36" s="2"/>
      <c r="Y36" s="5"/>
      <c r="Z36" s="2"/>
      <c r="AA36" s="3"/>
      <c r="AB36" s="3"/>
      <c r="AC36" s="3"/>
      <c r="AD36" s="4"/>
      <c r="AE36" s="3"/>
      <c r="AF36" s="2"/>
      <c r="AG36" s="3"/>
      <c r="AH36" s="3"/>
      <c r="AI36" s="3"/>
      <c r="AJ36" s="2"/>
      <c r="AK36" s="2"/>
      <c r="AL36" s="5"/>
      <c r="AM36" s="2"/>
      <c r="AN36" s="3"/>
      <c r="AO36" s="3"/>
      <c r="AP36" s="3"/>
      <c r="AQ36" s="4"/>
      <c r="AR36" s="3"/>
      <c r="AS36" s="2"/>
      <c r="AT36" s="3"/>
      <c r="AU36" s="3"/>
      <c r="AV36" s="3"/>
      <c r="AW36" s="2"/>
      <c r="AX36" s="2"/>
      <c r="AY36" s="5"/>
      <c r="AZ36" s="2"/>
      <c r="BA36" s="3"/>
      <c r="BB36" s="3"/>
      <c r="BC36" s="3"/>
      <c r="BD36" s="4"/>
      <c r="BE36" s="3"/>
      <c r="BF36" s="2"/>
      <c r="BG36" s="3"/>
      <c r="BH36" s="3"/>
      <c r="BI36" s="3"/>
      <c r="BJ36" s="2"/>
      <c r="BK36" s="2"/>
      <c r="BL36" s="5"/>
      <c r="BM36" s="2"/>
      <c r="BN36" s="3"/>
      <c r="BO36" s="3"/>
      <c r="BP36" s="3"/>
      <c r="BQ36" s="4"/>
    </row>
    <row r="37" spans="1:69" s="6" customFormat="1" ht="30" customHeight="1">
      <c r="A37" s="5"/>
      <c r="B37" s="2"/>
      <c r="C37" s="3"/>
      <c r="D37" s="3"/>
      <c r="E37" s="4"/>
      <c r="F37" s="3"/>
      <c r="G37" s="2"/>
      <c r="H37" s="3"/>
      <c r="I37" s="3"/>
      <c r="J37" s="2"/>
      <c r="K37" s="2"/>
      <c r="L37" s="5"/>
      <c r="M37" s="2"/>
      <c r="N37" s="3"/>
      <c r="O37" s="3"/>
      <c r="P37" s="3"/>
      <c r="Q37" s="4"/>
      <c r="R37" s="3"/>
      <c r="S37" s="2"/>
      <c r="T37" s="3"/>
      <c r="U37" s="3"/>
      <c r="V37" s="3"/>
      <c r="W37" s="2"/>
      <c r="X37" s="2"/>
      <c r="Y37" s="5"/>
      <c r="Z37" s="2"/>
      <c r="AA37" s="3"/>
      <c r="AB37" s="3"/>
      <c r="AC37" s="3"/>
      <c r="AD37" s="4"/>
      <c r="AE37" s="3"/>
      <c r="AF37" s="2"/>
      <c r="AG37" s="3"/>
      <c r="AH37" s="3"/>
      <c r="AI37" s="3"/>
      <c r="AJ37" s="2"/>
      <c r="AK37" s="2"/>
      <c r="AL37" s="5"/>
      <c r="AM37" s="2"/>
      <c r="AN37" s="3"/>
      <c r="AO37" s="3"/>
      <c r="AP37" s="3"/>
      <c r="AQ37" s="4"/>
      <c r="AR37" s="3"/>
      <c r="AS37" s="2"/>
      <c r="AT37" s="3"/>
      <c r="AU37" s="3"/>
      <c r="AV37" s="3"/>
      <c r="AW37" s="2"/>
      <c r="AX37" s="2"/>
      <c r="AY37" s="5"/>
      <c r="AZ37" s="2"/>
      <c r="BA37" s="3"/>
      <c r="BB37" s="3"/>
      <c r="BC37" s="3"/>
      <c r="BD37" s="4"/>
      <c r="BE37" s="3"/>
      <c r="BF37" s="2"/>
      <c r="BG37" s="3"/>
      <c r="BH37" s="3"/>
      <c r="BI37" s="3"/>
      <c r="BJ37" s="2"/>
      <c r="BK37" s="2"/>
      <c r="BL37" s="5"/>
      <c r="BM37" s="2"/>
      <c r="BN37" s="3"/>
      <c r="BO37" s="3"/>
      <c r="BP37" s="3"/>
      <c r="BQ37" s="4"/>
    </row>
    <row r="38" spans="1:69" s="6" customFormat="1" ht="30" customHeight="1">
      <c r="A38" s="5"/>
      <c r="B38" s="2"/>
      <c r="C38" s="3"/>
      <c r="D38" s="3"/>
      <c r="E38" s="4"/>
      <c r="F38" s="3"/>
      <c r="G38" s="2"/>
      <c r="H38" s="3"/>
      <c r="I38" s="3"/>
      <c r="J38" s="2"/>
      <c r="K38" s="2"/>
      <c r="L38" s="5"/>
      <c r="M38" s="2"/>
      <c r="N38" s="3"/>
      <c r="O38" s="3"/>
      <c r="P38" s="3"/>
      <c r="Q38" s="4"/>
      <c r="R38" s="3"/>
      <c r="S38" s="2"/>
      <c r="T38" s="3"/>
      <c r="U38" s="3"/>
      <c r="V38" s="3"/>
      <c r="W38" s="2"/>
      <c r="X38" s="2"/>
      <c r="Y38" s="5"/>
      <c r="Z38" s="2"/>
      <c r="AA38" s="3"/>
      <c r="AB38" s="3"/>
      <c r="AC38" s="3"/>
      <c r="AD38" s="4"/>
      <c r="AE38" s="3"/>
      <c r="AF38" s="2"/>
      <c r="AG38" s="3"/>
      <c r="AH38" s="3"/>
      <c r="AI38" s="3"/>
      <c r="AJ38" s="2"/>
      <c r="AK38" s="2"/>
      <c r="AL38" s="5"/>
      <c r="AM38" s="2"/>
      <c r="AN38" s="3"/>
      <c r="AO38" s="3"/>
      <c r="AP38" s="3"/>
      <c r="AQ38" s="4"/>
      <c r="AR38" s="3"/>
      <c r="AS38" s="2"/>
      <c r="AT38" s="3"/>
      <c r="AU38" s="3"/>
      <c r="AV38" s="3"/>
      <c r="AW38" s="2"/>
      <c r="AX38" s="2"/>
      <c r="AY38" s="5"/>
      <c r="AZ38" s="2"/>
      <c r="BA38" s="3"/>
      <c r="BB38" s="3"/>
      <c r="BC38" s="3"/>
      <c r="BD38" s="4"/>
      <c r="BE38" s="3"/>
      <c r="BF38" s="2"/>
      <c r="BG38" s="3"/>
      <c r="BH38" s="3"/>
      <c r="BI38" s="3"/>
      <c r="BJ38" s="2"/>
      <c r="BK38" s="2"/>
      <c r="BL38" s="5"/>
      <c r="BM38" s="2"/>
      <c r="BN38" s="3"/>
      <c r="BO38" s="3"/>
      <c r="BP38" s="3"/>
      <c r="BQ38" s="4"/>
    </row>
    <row r="39" spans="1:69" s="6" customFormat="1" ht="30" customHeight="1">
      <c r="A39" s="5"/>
      <c r="B39" s="2"/>
      <c r="C39" s="3"/>
      <c r="D39" s="3"/>
      <c r="E39" s="4"/>
      <c r="F39" s="3"/>
      <c r="G39" s="2"/>
      <c r="H39" s="3"/>
      <c r="I39" s="3"/>
      <c r="J39" s="2"/>
      <c r="K39" s="2"/>
      <c r="L39" s="5"/>
      <c r="M39" s="2"/>
      <c r="N39" s="3"/>
      <c r="O39" s="3"/>
      <c r="P39" s="3"/>
      <c r="Q39" s="4"/>
      <c r="R39" s="3"/>
      <c r="S39" s="2"/>
      <c r="T39" s="3"/>
      <c r="U39" s="3"/>
      <c r="V39" s="3"/>
      <c r="W39" s="2"/>
      <c r="X39" s="2"/>
      <c r="Y39" s="5"/>
      <c r="Z39" s="2"/>
      <c r="AA39" s="3"/>
      <c r="AB39" s="3"/>
      <c r="AC39" s="3"/>
      <c r="AD39" s="4"/>
      <c r="AE39" s="3"/>
      <c r="AF39" s="2"/>
      <c r="AG39" s="3"/>
      <c r="AH39" s="3"/>
      <c r="AI39" s="3"/>
      <c r="AJ39" s="2"/>
      <c r="AK39" s="2"/>
      <c r="AL39" s="5"/>
      <c r="AM39" s="2"/>
      <c r="AN39" s="3"/>
      <c r="AO39" s="3"/>
      <c r="AP39" s="3"/>
      <c r="AQ39" s="4"/>
      <c r="AR39" s="3"/>
      <c r="AS39" s="2"/>
      <c r="AT39" s="3"/>
      <c r="AU39" s="3"/>
      <c r="AV39" s="3"/>
      <c r="AW39" s="2"/>
      <c r="AX39" s="2"/>
      <c r="AY39" s="5"/>
      <c r="AZ39" s="2"/>
      <c r="BA39" s="3"/>
      <c r="BB39" s="3"/>
      <c r="BC39" s="3"/>
      <c r="BD39" s="4"/>
      <c r="BE39" s="3"/>
      <c r="BF39" s="2"/>
      <c r="BG39" s="3"/>
      <c r="BH39" s="3"/>
      <c r="BI39" s="3"/>
      <c r="BJ39" s="2"/>
      <c r="BK39" s="2"/>
      <c r="BL39" s="5"/>
      <c r="BM39" s="2"/>
      <c r="BN39" s="3"/>
      <c r="BO39" s="3"/>
      <c r="BP39" s="3"/>
      <c r="BQ39" s="4"/>
    </row>
    <row r="40" spans="1:69" s="6" customFormat="1" ht="30" customHeight="1">
      <c r="A40" s="5"/>
      <c r="B40" s="2"/>
      <c r="C40" s="3"/>
      <c r="D40" s="3"/>
      <c r="E40" s="4"/>
      <c r="F40" s="3"/>
      <c r="G40" s="2"/>
      <c r="H40" s="3"/>
      <c r="I40" s="3"/>
      <c r="J40" s="2"/>
      <c r="K40" s="2"/>
      <c r="L40" s="5"/>
      <c r="M40" s="2"/>
      <c r="N40" s="3"/>
      <c r="O40" s="3"/>
      <c r="P40" s="3"/>
      <c r="Q40" s="4"/>
      <c r="R40" s="3"/>
      <c r="S40" s="2"/>
      <c r="T40" s="3"/>
      <c r="U40" s="3"/>
      <c r="V40" s="3"/>
      <c r="W40" s="2"/>
      <c r="X40" s="2"/>
      <c r="Y40" s="5"/>
      <c r="Z40" s="2"/>
      <c r="AA40" s="3"/>
      <c r="AB40" s="3"/>
      <c r="AC40" s="3"/>
      <c r="AD40" s="4"/>
      <c r="AE40" s="3"/>
      <c r="AF40" s="2"/>
      <c r="AG40" s="3"/>
      <c r="AH40" s="3"/>
      <c r="AI40" s="3"/>
      <c r="AJ40" s="2"/>
      <c r="AK40" s="2"/>
      <c r="AL40" s="5"/>
      <c r="AM40" s="2"/>
      <c r="AN40" s="3"/>
      <c r="AO40" s="3"/>
      <c r="AP40" s="3"/>
      <c r="AQ40" s="4"/>
      <c r="AR40" s="3"/>
      <c r="AS40" s="2"/>
      <c r="AT40" s="3"/>
      <c r="AU40" s="3"/>
      <c r="AV40" s="3"/>
      <c r="AW40" s="2"/>
      <c r="AX40" s="2"/>
      <c r="AY40" s="5"/>
      <c r="AZ40" s="2"/>
      <c r="BA40" s="3"/>
      <c r="BB40" s="3"/>
      <c r="BC40" s="3"/>
      <c r="BD40" s="4"/>
      <c r="BE40" s="3"/>
      <c r="BF40" s="2"/>
      <c r="BG40" s="3"/>
      <c r="BH40" s="3"/>
      <c r="BI40" s="3"/>
      <c r="BJ40" s="2"/>
      <c r="BK40" s="2"/>
      <c r="BL40" s="5"/>
      <c r="BM40" s="2"/>
      <c r="BN40" s="3"/>
      <c r="BO40" s="3"/>
      <c r="BP40" s="3"/>
      <c r="BQ40" s="4"/>
    </row>
    <row r="41" spans="1:69" s="6" customFormat="1">
      <c r="A41" s="5"/>
      <c r="B41" s="2"/>
      <c r="C41" s="3"/>
      <c r="D41" s="3"/>
      <c r="E41" s="4"/>
      <c r="F41" s="3"/>
      <c r="G41" s="2"/>
      <c r="H41" s="3"/>
      <c r="I41" s="3"/>
      <c r="J41" s="2"/>
      <c r="K41" s="2"/>
      <c r="L41" s="5"/>
      <c r="M41" s="2"/>
      <c r="N41" s="3"/>
      <c r="O41" s="3"/>
      <c r="P41" s="3"/>
      <c r="Q41" s="4"/>
      <c r="R41" s="3"/>
      <c r="S41" s="2"/>
      <c r="T41" s="3"/>
      <c r="U41" s="3"/>
      <c r="V41" s="3"/>
      <c r="W41" s="2"/>
      <c r="X41" s="2"/>
      <c r="Y41" s="5"/>
      <c r="Z41" s="2"/>
      <c r="AA41" s="3"/>
      <c r="AB41" s="3"/>
      <c r="AC41" s="3"/>
      <c r="AD41" s="4"/>
      <c r="AE41" s="3"/>
      <c r="AF41" s="2"/>
      <c r="AG41" s="3"/>
      <c r="AH41" s="3"/>
      <c r="AI41" s="3"/>
      <c r="AJ41" s="2"/>
      <c r="AK41" s="2"/>
      <c r="AL41" s="5"/>
      <c r="AM41" s="2"/>
      <c r="AN41" s="3"/>
      <c r="AO41" s="3"/>
      <c r="AP41" s="3"/>
      <c r="AQ41" s="4"/>
      <c r="AR41" s="3"/>
      <c r="AS41" s="2"/>
      <c r="AT41" s="3"/>
      <c r="AU41" s="3"/>
      <c r="AV41" s="3"/>
      <c r="AW41" s="2"/>
      <c r="AX41" s="2"/>
      <c r="AY41" s="5"/>
      <c r="AZ41" s="2"/>
      <c r="BA41" s="3"/>
      <c r="BB41" s="3"/>
      <c r="BC41" s="3"/>
      <c r="BD41" s="4"/>
      <c r="BE41" s="3"/>
      <c r="BF41" s="2"/>
      <c r="BG41" s="3"/>
      <c r="BH41" s="3"/>
      <c r="BI41" s="3"/>
      <c r="BJ41" s="2"/>
      <c r="BK41" s="2"/>
      <c r="BL41" s="5"/>
      <c r="BM41" s="2"/>
      <c r="BN41" s="3"/>
      <c r="BO41" s="3"/>
      <c r="BP41" s="3"/>
      <c r="BQ41" s="4"/>
    </row>
    <row r="42" spans="1:69" s="6" customFormat="1">
      <c r="A42" s="5"/>
      <c r="B42" s="2"/>
      <c r="C42" s="3"/>
      <c r="D42" s="3"/>
      <c r="E42" s="4"/>
      <c r="F42" s="3"/>
      <c r="G42" s="2"/>
      <c r="H42" s="3"/>
      <c r="I42" s="3"/>
      <c r="J42" s="2"/>
      <c r="K42" s="2"/>
      <c r="L42" s="5"/>
      <c r="M42" s="2"/>
      <c r="N42" s="3"/>
      <c r="O42" s="3"/>
      <c r="P42" s="3"/>
      <c r="Q42" s="4"/>
      <c r="R42" s="3"/>
      <c r="S42" s="2"/>
      <c r="T42" s="3"/>
      <c r="U42" s="3"/>
      <c r="V42" s="3"/>
      <c r="W42" s="2"/>
      <c r="X42" s="2"/>
      <c r="Y42" s="5"/>
      <c r="Z42" s="2"/>
      <c r="AA42" s="3"/>
      <c r="AB42" s="3"/>
      <c r="AC42" s="3"/>
      <c r="AD42" s="4"/>
      <c r="AE42" s="3"/>
      <c r="AF42" s="2"/>
      <c r="AG42" s="3"/>
      <c r="AH42" s="3"/>
      <c r="AI42" s="3"/>
      <c r="AJ42" s="2"/>
      <c r="AK42" s="2"/>
      <c r="AL42" s="5"/>
      <c r="AM42" s="2"/>
      <c r="AN42" s="3"/>
      <c r="AO42" s="3"/>
      <c r="AP42" s="3"/>
      <c r="AQ42" s="4"/>
      <c r="AR42" s="3"/>
      <c r="AS42" s="2"/>
      <c r="AT42" s="3"/>
      <c r="AU42" s="3"/>
      <c r="AV42" s="3"/>
      <c r="AW42" s="2"/>
      <c r="AX42" s="2"/>
      <c r="AY42" s="5"/>
      <c r="AZ42" s="2"/>
      <c r="BA42" s="3"/>
      <c r="BB42" s="3"/>
      <c r="BC42" s="3"/>
      <c r="BD42" s="4"/>
      <c r="BE42" s="3"/>
      <c r="BF42" s="2"/>
      <c r="BG42" s="3"/>
      <c r="BH42" s="3"/>
      <c r="BI42" s="3"/>
      <c r="BJ42" s="2"/>
      <c r="BK42" s="2"/>
      <c r="BL42" s="5"/>
      <c r="BM42" s="2"/>
      <c r="BN42" s="3"/>
      <c r="BO42" s="3"/>
      <c r="BP42" s="3"/>
      <c r="BQ42" s="4"/>
    </row>
    <row r="43" spans="1:69" s="6" customFormat="1">
      <c r="A43" s="5"/>
      <c r="B43" s="2"/>
      <c r="C43" s="3"/>
      <c r="D43" s="3"/>
      <c r="E43" s="4"/>
      <c r="F43" s="3"/>
      <c r="G43" s="2"/>
      <c r="H43" s="3"/>
      <c r="I43" s="3"/>
      <c r="J43" s="2"/>
      <c r="K43" s="2"/>
      <c r="L43" s="5"/>
      <c r="M43" s="2"/>
      <c r="N43" s="3"/>
      <c r="O43" s="3"/>
      <c r="P43" s="3"/>
      <c r="Q43" s="4"/>
      <c r="R43" s="3"/>
      <c r="S43" s="2"/>
      <c r="T43" s="3"/>
      <c r="U43" s="3"/>
      <c r="V43" s="3"/>
      <c r="W43" s="2"/>
      <c r="X43" s="2"/>
      <c r="Y43" s="5"/>
      <c r="Z43" s="2"/>
      <c r="AA43" s="3"/>
      <c r="AB43" s="3"/>
      <c r="AC43" s="3"/>
      <c r="AD43" s="4"/>
      <c r="AE43" s="3"/>
      <c r="AF43" s="2"/>
      <c r="AG43" s="3"/>
      <c r="AH43" s="3"/>
      <c r="AI43" s="3"/>
      <c r="AJ43" s="2"/>
      <c r="AK43" s="2"/>
      <c r="AL43" s="5"/>
      <c r="AM43" s="2"/>
      <c r="AN43" s="3"/>
      <c r="AO43" s="3"/>
      <c r="AP43" s="3"/>
      <c r="AQ43" s="4"/>
      <c r="AR43" s="3"/>
      <c r="AS43" s="2"/>
      <c r="AT43" s="3"/>
      <c r="AU43" s="3"/>
      <c r="AV43" s="3"/>
      <c r="AW43" s="2"/>
      <c r="AX43" s="2"/>
      <c r="AY43" s="5"/>
      <c r="AZ43" s="2"/>
      <c r="BA43" s="3"/>
      <c r="BB43" s="3"/>
      <c r="BC43" s="3"/>
      <c r="BD43" s="4"/>
      <c r="BE43" s="3"/>
      <c r="BF43" s="2"/>
      <c r="BG43" s="3"/>
      <c r="BH43" s="3"/>
      <c r="BI43" s="3"/>
      <c r="BJ43" s="2"/>
      <c r="BK43" s="2"/>
      <c r="BL43" s="5"/>
      <c r="BM43" s="2"/>
      <c r="BN43" s="3"/>
      <c r="BO43" s="3"/>
      <c r="BP43" s="3"/>
      <c r="BQ43" s="4"/>
    </row>
    <row r="44" spans="1:69" s="6" customFormat="1" ht="30" customHeight="1">
      <c r="A44" s="5"/>
      <c r="B44" s="2"/>
      <c r="C44" s="3"/>
      <c r="D44" s="3"/>
      <c r="E44" s="4"/>
      <c r="F44" s="3"/>
      <c r="G44" s="2"/>
      <c r="H44" s="3"/>
      <c r="I44" s="3"/>
      <c r="J44" s="2"/>
      <c r="K44" s="2"/>
      <c r="L44" s="5"/>
      <c r="M44" s="2"/>
      <c r="N44" s="3"/>
      <c r="O44" s="3"/>
      <c r="P44" s="3"/>
      <c r="Q44" s="4"/>
      <c r="R44" s="3"/>
      <c r="S44" s="2"/>
      <c r="T44" s="3"/>
      <c r="U44" s="3"/>
      <c r="V44" s="3"/>
      <c r="W44" s="2"/>
      <c r="X44" s="2"/>
      <c r="Y44" s="5"/>
      <c r="Z44" s="2"/>
      <c r="AA44" s="3"/>
      <c r="AB44" s="3"/>
      <c r="AC44" s="3"/>
      <c r="AD44" s="4"/>
      <c r="AE44" s="3"/>
      <c r="AF44" s="2"/>
      <c r="AG44" s="3"/>
      <c r="AH44" s="3"/>
      <c r="AI44" s="3"/>
      <c r="AJ44" s="2"/>
      <c r="AK44" s="2"/>
      <c r="AL44" s="5"/>
      <c r="AM44" s="2"/>
      <c r="AN44" s="3"/>
      <c r="AO44" s="3"/>
      <c r="AP44" s="3"/>
      <c r="AQ44" s="4"/>
      <c r="AR44" s="3"/>
      <c r="AS44" s="2"/>
      <c r="AT44" s="3"/>
      <c r="AU44" s="3"/>
      <c r="AV44" s="3"/>
      <c r="AW44" s="2"/>
      <c r="AX44" s="2"/>
      <c r="AY44" s="5"/>
      <c r="AZ44" s="2"/>
      <c r="BA44" s="3"/>
      <c r="BB44" s="3"/>
      <c r="BC44" s="3"/>
      <c r="BD44" s="4"/>
      <c r="BE44" s="3"/>
      <c r="BF44" s="2"/>
      <c r="BG44" s="3"/>
      <c r="BH44" s="3"/>
      <c r="BI44" s="3"/>
      <c r="BJ44" s="2"/>
      <c r="BK44" s="2"/>
      <c r="BL44" s="5"/>
      <c r="BM44" s="2"/>
      <c r="BN44" s="3"/>
      <c r="BO44" s="3"/>
      <c r="BP44" s="3"/>
      <c r="BQ44" s="4"/>
    </row>
    <row r="45" spans="1:69" s="16" customFormat="1" ht="30" customHeight="1">
      <c r="A45" s="5"/>
      <c r="B45" s="2"/>
      <c r="C45" s="3"/>
      <c r="D45" s="3"/>
      <c r="E45" s="4"/>
      <c r="F45" s="3"/>
      <c r="G45" s="2"/>
      <c r="H45" s="3"/>
      <c r="I45" s="3"/>
      <c r="J45" s="2"/>
      <c r="K45" s="2"/>
      <c r="L45" s="5"/>
      <c r="M45" s="2"/>
      <c r="N45" s="3"/>
      <c r="O45" s="3"/>
      <c r="P45" s="3"/>
      <c r="Q45" s="4"/>
      <c r="R45" s="3"/>
      <c r="S45" s="2"/>
      <c r="T45" s="3"/>
      <c r="U45" s="3"/>
      <c r="V45" s="3"/>
      <c r="W45" s="2"/>
      <c r="X45" s="2"/>
      <c r="Y45" s="5"/>
      <c r="Z45" s="2"/>
      <c r="AA45" s="3"/>
      <c r="AB45" s="3"/>
      <c r="AC45" s="3"/>
      <c r="AD45" s="4"/>
      <c r="AE45" s="3"/>
      <c r="AF45" s="2"/>
      <c r="AG45" s="3"/>
      <c r="AH45" s="3"/>
      <c r="AI45" s="3"/>
      <c r="AJ45" s="2"/>
      <c r="AK45" s="2"/>
      <c r="AL45" s="5"/>
      <c r="AM45" s="2"/>
      <c r="AN45" s="3"/>
      <c r="AO45" s="3"/>
      <c r="AP45" s="3"/>
      <c r="AQ45" s="4"/>
      <c r="AR45" s="3"/>
      <c r="AS45" s="2"/>
      <c r="AT45" s="3"/>
      <c r="AU45" s="3"/>
      <c r="AV45" s="3"/>
      <c r="AW45" s="2"/>
      <c r="AX45" s="2"/>
      <c r="AY45" s="5"/>
      <c r="AZ45" s="2"/>
      <c r="BA45" s="3"/>
      <c r="BB45" s="3"/>
      <c r="BC45" s="3"/>
      <c r="BD45" s="4"/>
      <c r="BE45" s="3"/>
      <c r="BF45" s="2"/>
      <c r="BG45" s="3"/>
      <c r="BH45" s="3"/>
      <c r="BI45" s="3"/>
      <c r="BJ45" s="2"/>
      <c r="BK45" s="2"/>
      <c r="BL45" s="5"/>
      <c r="BM45" s="2"/>
      <c r="BN45" s="3"/>
      <c r="BO45" s="3"/>
      <c r="BP45" s="3"/>
      <c r="BQ45" s="4"/>
    </row>
    <row r="46" spans="1:69" s="6" customFormat="1">
      <c r="A46" s="5"/>
      <c r="B46" s="2"/>
      <c r="C46" s="3"/>
      <c r="D46" s="3"/>
      <c r="E46" s="4"/>
      <c r="F46" s="3"/>
      <c r="G46" s="2"/>
      <c r="H46" s="3"/>
      <c r="I46" s="3"/>
      <c r="J46" s="2"/>
      <c r="K46" s="2"/>
      <c r="L46" s="5"/>
      <c r="M46" s="2"/>
      <c r="N46" s="3"/>
      <c r="O46" s="3"/>
      <c r="P46" s="3"/>
      <c r="Q46" s="4"/>
      <c r="R46" s="3"/>
      <c r="S46" s="2"/>
      <c r="T46" s="3"/>
      <c r="U46" s="3"/>
      <c r="V46" s="3"/>
      <c r="W46" s="2"/>
      <c r="X46" s="2"/>
      <c r="Y46" s="5"/>
      <c r="Z46" s="2"/>
      <c r="AA46" s="3"/>
      <c r="AB46" s="3"/>
      <c r="AC46" s="3"/>
      <c r="AD46" s="4"/>
      <c r="AE46" s="3"/>
      <c r="AF46" s="2"/>
      <c r="AG46" s="3"/>
      <c r="AH46" s="3"/>
      <c r="AI46" s="3"/>
      <c r="AJ46" s="2"/>
      <c r="AK46" s="2"/>
      <c r="AL46" s="5"/>
      <c r="AM46" s="2"/>
      <c r="AN46" s="3"/>
      <c r="AO46" s="3"/>
      <c r="AP46" s="3"/>
      <c r="AQ46" s="4"/>
      <c r="AR46" s="3"/>
      <c r="AS46" s="2"/>
      <c r="AT46" s="3"/>
      <c r="AU46" s="3"/>
      <c r="AV46" s="3"/>
      <c r="AW46" s="2"/>
      <c r="AX46" s="2"/>
      <c r="AY46" s="5"/>
      <c r="AZ46" s="2"/>
      <c r="BA46" s="3"/>
      <c r="BB46" s="3"/>
      <c r="BC46" s="3"/>
      <c r="BD46" s="4"/>
      <c r="BE46" s="3"/>
      <c r="BF46" s="2"/>
      <c r="BG46" s="3"/>
      <c r="BH46" s="3"/>
      <c r="BI46" s="3"/>
      <c r="BJ46" s="2"/>
      <c r="BK46" s="2"/>
      <c r="BL46" s="5"/>
      <c r="BM46" s="2"/>
      <c r="BN46" s="3"/>
      <c r="BO46" s="3"/>
      <c r="BP46" s="3"/>
      <c r="BQ46" s="4"/>
    </row>
    <row r="47" spans="1:69" s="6" customFormat="1" ht="30" customHeight="1">
      <c r="A47" s="5"/>
      <c r="B47" s="2"/>
      <c r="C47" s="3"/>
      <c r="D47" s="3"/>
      <c r="E47" s="4"/>
      <c r="F47" s="3"/>
      <c r="G47" s="2"/>
      <c r="H47" s="3"/>
      <c r="I47" s="3"/>
      <c r="J47" s="2"/>
      <c r="K47" s="2"/>
      <c r="L47" s="5"/>
      <c r="M47" s="2"/>
      <c r="N47" s="3"/>
      <c r="O47" s="3"/>
      <c r="P47" s="3"/>
      <c r="Q47" s="4"/>
      <c r="R47" s="3"/>
      <c r="S47" s="2"/>
      <c r="T47" s="3"/>
      <c r="U47" s="3"/>
      <c r="V47" s="3"/>
      <c r="W47" s="2"/>
      <c r="X47" s="2"/>
      <c r="Y47" s="5"/>
      <c r="Z47" s="2"/>
      <c r="AA47" s="3"/>
      <c r="AB47" s="3"/>
      <c r="AC47" s="3"/>
      <c r="AD47" s="4"/>
      <c r="AE47" s="3"/>
      <c r="AF47" s="2"/>
      <c r="AG47" s="3"/>
      <c r="AH47" s="3"/>
      <c r="AI47" s="3"/>
      <c r="AJ47" s="2"/>
      <c r="AK47" s="2"/>
      <c r="AL47" s="5"/>
      <c r="AM47" s="2"/>
      <c r="AN47" s="3"/>
      <c r="AO47" s="3"/>
      <c r="AP47" s="3"/>
      <c r="AQ47" s="4"/>
      <c r="AR47" s="3"/>
      <c r="AS47" s="2"/>
      <c r="AT47" s="3"/>
      <c r="AU47" s="3"/>
      <c r="AV47" s="3"/>
      <c r="AW47" s="2"/>
      <c r="AX47" s="2"/>
      <c r="AY47" s="5"/>
      <c r="AZ47" s="2"/>
      <c r="BA47" s="3"/>
      <c r="BB47" s="3"/>
      <c r="BC47" s="3"/>
      <c r="BD47" s="4"/>
      <c r="BE47" s="3"/>
      <c r="BF47" s="2"/>
      <c r="BG47" s="3"/>
      <c r="BH47" s="3"/>
      <c r="BI47" s="3"/>
      <c r="BJ47" s="2"/>
      <c r="BK47" s="2"/>
      <c r="BL47" s="5"/>
      <c r="BM47" s="2"/>
      <c r="BN47" s="3"/>
      <c r="BO47" s="3"/>
      <c r="BP47" s="3"/>
      <c r="BQ47" s="4"/>
    </row>
    <row r="48" spans="1:69" s="6" customFormat="1" ht="30" customHeight="1">
      <c r="A48" s="5"/>
      <c r="B48" s="2"/>
      <c r="C48" s="3"/>
      <c r="D48" s="3"/>
      <c r="E48" s="4"/>
      <c r="F48" s="3"/>
      <c r="G48" s="2"/>
      <c r="H48" s="3"/>
      <c r="I48" s="3"/>
      <c r="J48" s="2"/>
      <c r="K48" s="2"/>
      <c r="L48" s="5"/>
      <c r="M48" s="2"/>
      <c r="N48" s="3"/>
      <c r="O48" s="3"/>
      <c r="P48" s="3"/>
      <c r="Q48" s="4"/>
      <c r="R48" s="3"/>
      <c r="S48" s="2"/>
      <c r="T48" s="3"/>
      <c r="U48" s="3"/>
      <c r="V48" s="3"/>
      <c r="W48" s="2"/>
      <c r="X48" s="2"/>
      <c r="Y48" s="5"/>
      <c r="Z48" s="2"/>
      <c r="AA48" s="3"/>
      <c r="AB48" s="3"/>
      <c r="AC48" s="3"/>
      <c r="AD48" s="4"/>
      <c r="AE48" s="3"/>
      <c r="AF48" s="2"/>
      <c r="AG48" s="3"/>
      <c r="AH48" s="3"/>
      <c r="AI48" s="3"/>
      <c r="AJ48" s="2"/>
      <c r="AK48" s="2"/>
      <c r="AL48" s="5"/>
      <c r="AM48" s="2"/>
      <c r="AN48" s="3"/>
      <c r="AO48" s="3"/>
      <c r="AP48" s="3"/>
      <c r="AQ48" s="4"/>
      <c r="AR48" s="3"/>
      <c r="AS48" s="2"/>
      <c r="AT48" s="3"/>
      <c r="AU48" s="3"/>
      <c r="AV48" s="3"/>
      <c r="AW48" s="2"/>
      <c r="AX48" s="2"/>
      <c r="AY48" s="5"/>
      <c r="AZ48" s="2"/>
      <c r="BA48" s="3"/>
      <c r="BB48" s="3"/>
      <c r="BC48" s="3"/>
      <c r="BD48" s="4"/>
      <c r="BE48" s="3"/>
      <c r="BF48" s="2"/>
      <c r="BG48" s="3"/>
      <c r="BH48" s="3"/>
      <c r="BI48" s="3"/>
      <c r="BJ48" s="2"/>
      <c r="BK48" s="2"/>
      <c r="BL48" s="5"/>
      <c r="BM48" s="2"/>
      <c r="BN48" s="3"/>
      <c r="BO48" s="3"/>
      <c r="BP48" s="3"/>
      <c r="BQ48" s="4"/>
    </row>
    <row r="49" spans="1:69" s="6" customFormat="1" ht="30" customHeight="1">
      <c r="A49" s="5"/>
      <c r="B49" s="2"/>
      <c r="C49" s="3"/>
      <c r="D49" s="3"/>
      <c r="E49" s="4"/>
      <c r="F49" s="3"/>
      <c r="G49" s="2"/>
      <c r="H49" s="3"/>
      <c r="I49" s="3"/>
      <c r="J49" s="2"/>
      <c r="K49" s="2"/>
      <c r="L49" s="5"/>
      <c r="M49" s="2"/>
      <c r="N49" s="3"/>
      <c r="O49" s="3"/>
      <c r="P49" s="3"/>
      <c r="Q49" s="4"/>
      <c r="R49" s="3"/>
      <c r="S49" s="2"/>
      <c r="T49" s="3"/>
      <c r="U49" s="3"/>
      <c r="V49" s="3"/>
      <c r="W49" s="2"/>
      <c r="X49" s="2"/>
      <c r="Y49" s="5"/>
      <c r="Z49" s="2"/>
      <c r="AA49" s="3"/>
      <c r="AB49" s="3"/>
      <c r="AC49" s="3"/>
      <c r="AD49" s="4"/>
      <c r="AE49" s="3"/>
      <c r="AF49" s="2"/>
      <c r="AG49" s="3"/>
      <c r="AH49" s="3"/>
      <c r="AI49" s="3"/>
      <c r="AJ49" s="2"/>
      <c r="AK49" s="2"/>
      <c r="AL49" s="5"/>
      <c r="AM49" s="2"/>
      <c r="AN49" s="3"/>
      <c r="AO49" s="3"/>
      <c r="AP49" s="3"/>
      <c r="AQ49" s="4"/>
      <c r="AR49" s="3"/>
      <c r="AS49" s="2"/>
      <c r="AT49" s="3"/>
      <c r="AU49" s="3"/>
      <c r="AV49" s="3"/>
      <c r="AW49" s="2"/>
      <c r="AX49" s="2"/>
      <c r="AY49" s="5"/>
      <c r="AZ49" s="2"/>
      <c r="BA49" s="3"/>
      <c r="BB49" s="3"/>
      <c r="BC49" s="3"/>
      <c r="BD49" s="4"/>
      <c r="BE49" s="3"/>
      <c r="BF49" s="2"/>
      <c r="BG49" s="3"/>
      <c r="BH49" s="3"/>
      <c r="BI49" s="3"/>
      <c r="BJ49" s="2"/>
      <c r="BK49" s="2"/>
      <c r="BL49" s="5"/>
      <c r="BM49" s="2"/>
      <c r="BN49" s="3"/>
      <c r="BO49" s="3"/>
      <c r="BP49" s="3"/>
      <c r="BQ49" s="4"/>
    </row>
    <row r="50" spans="1:69" s="6" customFormat="1">
      <c r="A50" s="5"/>
      <c r="B50" s="2"/>
      <c r="C50" s="3"/>
      <c r="D50" s="3"/>
      <c r="E50" s="4"/>
      <c r="F50" s="3"/>
      <c r="G50" s="2"/>
      <c r="H50" s="3"/>
      <c r="I50" s="3"/>
      <c r="J50" s="2"/>
      <c r="K50" s="2"/>
      <c r="L50" s="5"/>
      <c r="M50" s="2"/>
      <c r="N50" s="3"/>
      <c r="O50" s="3"/>
      <c r="P50" s="3"/>
      <c r="Q50" s="4"/>
      <c r="R50" s="3"/>
      <c r="S50" s="2"/>
      <c r="T50" s="3"/>
      <c r="U50" s="3"/>
      <c r="V50" s="3"/>
      <c r="W50" s="2"/>
      <c r="X50" s="2"/>
      <c r="Y50" s="5"/>
      <c r="Z50" s="2"/>
      <c r="AA50" s="3"/>
      <c r="AB50" s="3"/>
      <c r="AC50" s="3"/>
      <c r="AD50" s="4"/>
      <c r="AE50" s="3"/>
      <c r="AF50" s="2"/>
      <c r="AG50" s="3"/>
      <c r="AH50" s="3"/>
      <c r="AI50" s="3"/>
      <c r="AJ50" s="2"/>
      <c r="AK50" s="2"/>
      <c r="AL50" s="5"/>
      <c r="AM50" s="2"/>
      <c r="AN50" s="3"/>
      <c r="AO50" s="3"/>
      <c r="AP50" s="3"/>
      <c r="AQ50" s="4"/>
      <c r="AR50" s="3"/>
      <c r="AS50" s="2"/>
      <c r="AT50" s="3"/>
      <c r="AU50" s="3"/>
      <c r="AV50" s="3"/>
      <c r="AW50" s="2"/>
      <c r="AX50" s="2"/>
      <c r="AY50" s="5"/>
      <c r="AZ50" s="2"/>
      <c r="BA50" s="3"/>
      <c r="BB50" s="3"/>
      <c r="BC50" s="3"/>
      <c r="BD50" s="4"/>
      <c r="BE50" s="3"/>
      <c r="BF50" s="2"/>
      <c r="BG50" s="3"/>
      <c r="BH50" s="3"/>
      <c r="BI50" s="3"/>
      <c r="BJ50" s="2"/>
      <c r="BK50" s="2"/>
      <c r="BL50" s="5"/>
      <c r="BM50" s="2"/>
      <c r="BN50" s="3"/>
      <c r="BO50" s="3"/>
      <c r="BP50" s="3"/>
      <c r="BQ50" s="4"/>
    </row>
    <row r="51" spans="1:69" s="16" customFormat="1" ht="30" customHeight="1">
      <c r="A51" s="5"/>
      <c r="B51" s="2"/>
      <c r="C51" s="3"/>
      <c r="D51" s="3"/>
      <c r="E51" s="4"/>
      <c r="F51" s="3"/>
      <c r="G51" s="2"/>
      <c r="H51" s="3"/>
      <c r="I51" s="3"/>
      <c r="J51" s="2"/>
      <c r="K51" s="2"/>
      <c r="L51" s="5"/>
      <c r="M51" s="2"/>
      <c r="N51" s="3"/>
      <c r="O51" s="3"/>
      <c r="P51" s="3"/>
      <c r="Q51" s="4"/>
      <c r="R51" s="3"/>
      <c r="S51" s="2"/>
      <c r="T51" s="3"/>
      <c r="U51" s="3"/>
      <c r="V51" s="3"/>
      <c r="W51" s="2"/>
      <c r="X51" s="2"/>
      <c r="Y51" s="5"/>
      <c r="Z51" s="2"/>
      <c r="AA51" s="3"/>
      <c r="AB51" s="3"/>
      <c r="AC51" s="3"/>
      <c r="AD51" s="4"/>
      <c r="AE51" s="3"/>
      <c r="AF51" s="2"/>
      <c r="AG51" s="3"/>
      <c r="AH51" s="3"/>
      <c r="AI51" s="3"/>
      <c r="AJ51" s="2"/>
      <c r="AK51" s="2"/>
      <c r="AL51" s="5"/>
      <c r="AM51" s="2"/>
      <c r="AN51" s="3"/>
      <c r="AO51" s="3"/>
      <c r="AP51" s="3"/>
      <c r="AQ51" s="4"/>
      <c r="AR51" s="3"/>
      <c r="AS51" s="2"/>
      <c r="AT51" s="3"/>
      <c r="AU51" s="3"/>
      <c r="AV51" s="3"/>
      <c r="AW51" s="2"/>
      <c r="AX51" s="2"/>
      <c r="AY51" s="5"/>
      <c r="AZ51" s="2"/>
      <c r="BA51" s="3"/>
      <c r="BB51" s="3"/>
      <c r="BC51" s="3"/>
      <c r="BD51" s="4"/>
      <c r="BE51" s="3"/>
      <c r="BF51" s="2"/>
      <c r="BG51" s="3"/>
      <c r="BH51" s="3"/>
      <c r="BI51" s="3"/>
      <c r="BJ51" s="2"/>
      <c r="BK51" s="2"/>
      <c r="BL51" s="5"/>
      <c r="BM51" s="2"/>
      <c r="BN51" s="3"/>
      <c r="BO51" s="3"/>
      <c r="BP51" s="3"/>
      <c r="BQ51" s="4"/>
    </row>
    <row r="52" spans="1:69" s="6" customFormat="1">
      <c r="A52" s="5"/>
      <c r="B52" s="2"/>
      <c r="C52" s="3"/>
      <c r="D52" s="3"/>
      <c r="E52" s="4"/>
      <c r="F52" s="3"/>
      <c r="G52" s="2"/>
      <c r="H52" s="3"/>
      <c r="I52" s="3"/>
      <c r="J52" s="2"/>
      <c r="K52" s="2"/>
      <c r="L52" s="5"/>
      <c r="M52" s="2"/>
      <c r="N52" s="3"/>
      <c r="O52" s="3"/>
      <c r="P52" s="3"/>
      <c r="Q52" s="4"/>
      <c r="R52" s="3"/>
      <c r="S52" s="2"/>
      <c r="T52" s="3"/>
      <c r="U52" s="3"/>
      <c r="V52" s="3"/>
      <c r="W52" s="2"/>
      <c r="X52" s="2"/>
      <c r="Y52" s="5"/>
      <c r="Z52" s="2"/>
      <c r="AA52" s="3"/>
      <c r="AB52" s="3"/>
      <c r="AC52" s="3"/>
      <c r="AD52" s="4"/>
      <c r="AE52" s="3"/>
      <c r="AF52" s="2"/>
      <c r="AG52" s="3"/>
      <c r="AH52" s="3"/>
      <c r="AI52" s="3"/>
      <c r="AJ52" s="2"/>
      <c r="AK52" s="2"/>
      <c r="AL52" s="5"/>
      <c r="AM52" s="2"/>
      <c r="AN52" s="3"/>
      <c r="AO52" s="3"/>
      <c r="AP52" s="3"/>
      <c r="AQ52" s="4"/>
      <c r="AR52" s="3"/>
      <c r="AS52" s="2"/>
      <c r="AT52" s="3"/>
      <c r="AU52" s="3"/>
      <c r="AV52" s="3"/>
      <c r="AW52" s="2"/>
      <c r="AX52" s="2"/>
      <c r="AY52" s="5"/>
      <c r="AZ52" s="2"/>
      <c r="BA52" s="3"/>
      <c r="BB52" s="3"/>
      <c r="BC52" s="3"/>
      <c r="BD52" s="4"/>
      <c r="BE52" s="3"/>
      <c r="BF52" s="2"/>
      <c r="BG52" s="3"/>
      <c r="BH52" s="3"/>
      <c r="BI52" s="3"/>
      <c r="BJ52" s="2"/>
      <c r="BK52" s="2"/>
      <c r="BL52" s="5"/>
      <c r="BM52" s="2"/>
      <c r="BN52" s="3"/>
      <c r="BO52" s="3"/>
      <c r="BP52" s="3"/>
      <c r="BQ52" s="4"/>
    </row>
    <row r="53" spans="1:69" s="6" customFormat="1" ht="76.5" customHeight="1">
      <c r="A53" s="5"/>
      <c r="B53" s="2"/>
      <c r="C53" s="3"/>
      <c r="D53" s="3"/>
      <c r="E53" s="4"/>
      <c r="F53" s="3"/>
      <c r="G53" s="2"/>
      <c r="H53" s="3"/>
      <c r="I53" s="3"/>
      <c r="J53" s="2"/>
      <c r="K53" s="2"/>
      <c r="L53" s="5"/>
      <c r="M53" s="2"/>
      <c r="N53" s="3"/>
      <c r="O53" s="3"/>
      <c r="P53" s="3"/>
      <c r="Q53" s="4"/>
      <c r="R53" s="3"/>
      <c r="S53" s="2"/>
      <c r="T53" s="3"/>
      <c r="U53" s="3"/>
      <c r="V53" s="3"/>
      <c r="W53" s="2"/>
      <c r="X53" s="2"/>
      <c r="Y53" s="5"/>
      <c r="Z53" s="2"/>
      <c r="AA53" s="3"/>
      <c r="AB53" s="3"/>
      <c r="AC53" s="3"/>
      <c r="AD53" s="4"/>
      <c r="AE53" s="3"/>
      <c r="AF53" s="2"/>
      <c r="AG53" s="3"/>
      <c r="AH53" s="3"/>
      <c r="AI53" s="3"/>
      <c r="AJ53" s="2"/>
      <c r="AK53" s="2"/>
      <c r="AL53" s="5"/>
      <c r="AM53" s="2"/>
      <c r="AN53" s="3"/>
      <c r="AO53" s="3"/>
      <c r="AP53" s="3"/>
      <c r="AQ53" s="4"/>
      <c r="AR53" s="3"/>
      <c r="AS53" s="2"/>
      <c r="AT53" s="3"/>
      <c r="AU53" s="3"/>
      <c r="AV53" s="3"/>
      <c r="AW53" s="2"/>
      <c r="AX53" s="2"/>
      <c r="AY53" s="5"/>
      <c r="AZ53" s="2"/>
      <c r="BA53" s="3"/>
      <c r="BB53" s="3"/>
      <c r="BC53" s="3"/>
      <c r="BD53" s="4"/>
      <c r="BE53" s="3"/>
      <c r="BF53" s="2"/>
      <c r="BG53" s="3"/>
      <c r="BH53" s="3"/>
      <c r="BI53" s="3"/>
      <c r="BJ53" s="2"/>
      <c r="BK53" s="2"/>
      <c r="BL53" s="5"/>
      <c r="BM53" s="2"/>
      <c r="BN53" s="3"/>
      <c r="BO53" s="3"/>
      <c r="BP53" s="3"/>
      <c r="BQ53" s="4"/>
    </row>
    <row r="54" spans="1:69" s="6" customFormat="1">
      <c r="A54" s="5"/>
      <c r="B54" s="2"/>
      <c r="C54" s="3"/>
      <c r="D54" s="3"/>
      <c r="E54" s="4"/>
      <c r="F54" s="3"/>
      <c r="G54" s="2"/>
      <c r="H54" s="3"/>
      <c r="I54" s="3"/>
      <c r="J54" s="2"/>
      <c r="K54" s="2"/>
      <c r="L54" s="5"/>
      <c r="M54" s="2"/>
      <c r="N54" s="3"/>
      <c r="O54" s="3"/>
      <c r="P54" s="3"/>
      <c r="Q54" s="4"/>
      <c r="R54" s="3"/>
      <c r="S54" s="2"/>
      <c r="T54" s="3"/>
      <c r="U54" s="3"/>
      <c r="V54" s="3"/>
      <c r="W54" s="2"/>
      <c r="X54" s="2"/>
      <c r="Y54" s="5"/>
      <c r="Z54" s="2"/>
      <c r="AA54" s="3"/>
      <c r="AB54" s="3"/>
      <c r="AC54" s="3"/>
      <c r="AD54" s="4"/>
      <c r="AE54" s="3"/>
      <c r="AF54" s="2"/>
      <c r="AG54" s="3"/>
      <c r="AH54" s="3"/>
      <c r="AI54" s="3"/>
      <c r="AJ54" s="2"/>
      <c r="AK54" s="2"/>
      <c r="AL54" s="5"/>
      <c r="AM54" s="2"/>
      <c r="AN54" s="3"/>
      <c r="AO54" s="3"/>
      <c r="AP54" s="3"/>
      <c r="AQ54" s="4"/>
      <c r="AR54" s="3"/>
      <c r="AS54" s="2"/>
      <c r="AT54" s="3"/>
      <c r="AU54" s="3"/>
      <c r="AV54" s="3"/>
      <c r="AW54" s="2"/>
      <c r="AX54" s="2"/>
      <c r="AY54" s="5"/>
      <c r="AZ54" s="2"/>
      <c r="BA54" s="3"/>
      <c r="BB54" s="3"/>
      <c r="BC54" s="3"/>
      <c r="BD54" s="4"/>
      <c r="BE54" s="3"/>
      <c r="BF54" s="2"/>
      <c r="BG54" s="3"/>
      <c r="BH54" s="3"/>
      <c r="BI54" s="3"/>
      <c r="BJ54" s="2"/>
      <c r="BK54" s="2"/>
      <c r="BL54" s="5"/>
      <c r="BM54" s="2"/>
      <c r="BN54" s="3"/>
      <c r="BO54" s="3"/>
      <c r="BP54" s="3"/>
      <c r="BQ54" s="4"/>
    </row>
    <row r="55" spans="1:69" s="6" customFormat="1">
      <c r="A55" s="5"/>
      <c r="B55" s="2"/>
      <c r="C55" s="3"/>
      <c r="D55" s="3"/>
      <c r="E55" s="4"/>
      <c r="F55" s="3"/>
      <c r="G55" s="2"/>
      <c r="H55" s="3"/>
      <c r="I55" s="3"/>
      <c r="J55" s="2"/>
      <c r="K55" s="2"/>
      <c r="L55" s="5"/>
      <c r="M55" s="2"/>
      <c r="N55" s="3"/>
      <c r="O55" s="3"/>
      <c r="P55" s="3"/>
      <c r="Q55" s="4"/>
      <c r="R55" s="3"/>
      <c r="S55" s="2"/>
      <c r="T55" s="3"/>
      <c r="U55" s="3"/>
      <c r="V55" s="3"/>
      <c r="W55" s="2"/>
      <c r="X55" s="2"/>
      <c r="Y55" s="5"/>
      <c r="Z55" s="2"/>
      <c r="AA55" s="3"/>
      <c r="AB55" s="3"/>
      <c r="AC55" s="3"/>
      <c r="AD55" s="4"/>
      <c r="AE55" s="3"/>
      <c r="AF55" s="2"/>
      <c r="AG55" s="3"/>
      <c r="AH55" s="3"/>
      <c r="AI55" s="3"/>
      <c r="AJ55" s="2"/>
      <c r="AK55" s="2"/>
      <c r="AL55" s="5"/>
      <c r="AM55" s="2"/>
      <c r="AN55" s="3"/>
      <c r="AO55" s="3"/>
      <c r="AP55" s="3"/>
      <c r="AQ55" s="4"/>
      <c r="AR55" s="3"/>
      <c r="AS55" s="2"/>
      <c r="AT55" s="3"/>
      <c r="AU55" s="3"/>
      <c r="AV55" s="3"/>
      <c r="AW55" s="2"/>
      <c r="AX55" s="2"/>
      <c r="AY55" s="5"/>
      <c r="AZ55" s="2"/>
      <c r="BA55" s="3"/>
      <c r="BB55" s="3"/>
      <c r="BC55" s="3"/>
      <c r="BD55" s="4"/>
      <c r="BE55" s="3"/>
      <c r="BF55" s="2"/>
      <c r="BG55" s="3"/>
      <c r="BH55" s="3"/>
      <c r="BI55" s="3"/>
      <c r="BJ55" s="2"/>
      <c r="BK55" s="2"/>
      <c r="BL55" s="5"/>
      <c r="BM55" s="2"/>
      <c r="BN55" s="3"/>
      <c r="BO55" s="3"/>
      <c r="BP55" s="3"/>
      <c r="BQ55" s="4"/>
    </row>
    <row r="56" spans="1:69" s="6" customFormat="1" ht="30" customHeight="1">
      <c r="A56" s="5"/>
      <c r="B56" s="2"/>
      <c r="C56" s="3"/>
      <c r="D56" s="3"/>
      <c r="E56" s="4"/>
      <c r="F56" s="3"/>
      <c r="G56" s="2"/>
      <c r="H56" s="3"/>
      <c r="I56" s="3"/>
      <c r="J56" s="2"/>
      <c r="K56" s="2"/>
      <c r="L56" s="5"/>
      <c r="M56" s="2"/>
      <c r="N56" s="3"/>
      <c r="O56" s="3"/>
      <c r="P56" s="3"/>
      <c r="Q56" s="4"/>
      <c r="R56" s="3"/>
      <c r="S56" s="2"/>
      <c r="T56" s="3"/>
      <c r="U56" s="3"/>
      <c r="V56" s="3"/>
      <c r="W56" s="2"/>
      <c r="X56" s="2"/>
      <c r="Y56" s="5"/>
      <c r="Z56" s="2"/>
      <c r="AA56" s="3"/>
      <c r="AB56" s="3"/>
      <c r="AC56" s="3"/>
      <c r="AD56" s="4"/>
      <c r="AE56" s="3"/>
      <c r="AF56" s="2"/>
      <c r="AG56" s="3"/>
      <c r="AH56" s="3"/>
      <c r="AI56" s="3"/>
      <c r="AJ56" s="2"/>
      <c r="AK56" s="2"/>
      <c r="AL56" s="5"/>
      <c r="AM56" s="2"/>
      <c r="AN56" s="3"/>
      <c r="AO56" s="3"/>
      <c r="AP56" s="3"/>
      <c r="AQ56" s="4"/>
      <c r="AR56" s="3"/>
      <c r="AS56" s="2"/>
      <c r="AT56" s="3"/>
      <c r="AU56" s="3"/>
      <c r="AV56" s="3"/>
      <c r="AW56" s="2"/>
      <c r="AX56" s="2"/>
      <c r="AY56" s="5"/>
      <c r="AZ56" s="2"/>
      <c r="BA56" s="3"/>
      <c r="BB56" s="3"/>
      <c r="BC56" s="3"/>
      <c r="BD56" s="4"/>
      <c r="BE56" s="3"/>
      <c r="BF56" s="2"/>
      <c r="BG56" s="3"/>
      <c r="BH56" s="3"/>
      <c r="BI56" s="3"/>
      <c r="BJ56" s="2"/>
      <c r="BK56" s="2"/>
      <c r="BL56" s="5"/>
      <c r="BM56" s="2"/>
      <c r="BN56" s="3"/>
      <c r="BO56" s="3"/>
      <c r="BP56" s="3"/>
      <c r="BQ56" s="4"/>
    </row>
    <row r="57" spans="1:69" s="6" customFormat="1" ht="30" customHeight="1">
      <c r="A57" s="5"/>
      <c r="B57" s="2"/>
      <c r="C57" s="3"/>
      <c r="D57" s="3"/>
      <c r="E57" s="4"/>
      <c r="F57" s="3"/>
      <c r="G57" s="2"/>
      <c r="H57" s="3"/>
      <c r="I57" s="3"/>
      <c r="J57" s="2"/>
      <c r="K57" s="2"/>
      <c r="L57" s="5"/>
      <c r="M57" s="2"/>
      <c r="N57" s="3"/>
      <c r="O57" s="3"/>
      <c r="P57" s="3"/>
      <c r="Q57" s="4"/>
      <c r="R57" s="3"/>
      <c r="S57" s="2"/>
      <c r="T57" s="3"/>
      <c r="U57" s="3"/>
      <c r="V57" s="3"/>
      <c r="W57" s="2"/>
      <c r="X57" s="2"/>
      <c r="Y57" s="5"/>
      <c r="Z57" s="2"/>
      <c r="AA57" s="3"/>
      <c r="AB57" s="3"/>
      <c r="AC57" s="3"/>
      <c r="AD57" s="4"/>
      <c r="AE57" s="3"/>
      <c r="AF57" s="2"/>
      <c r="AG57" s="3"/>
      <c r="AH57" s="3"/>
      <c r="AI57" s="3"/>
      <c r="AJ57" s="2"/>
      <c r="AK57" s="2"/>
      <c r="AL57" s="5"/>
      <c r="AM57" s="2"/>
      <c r="AN57" s="3"/>
      <c r="AO57" s="3"/>
      <c r="AP57" s="3"/>
      <c r="AQ57" s="4"/>
      <c r="AR57" s="3"/>
      <c r="AS57" s="2"/>
      <c r="AT57" s="3"/>
      <c r="AU57" s="3"/>
      <c r="AV57" s="3"/>
      <c r="AW57" s="2"/>
      <c r="AX57" s="2"/>
      <c r="AY57" s="5"/>
      <c r="AZ57" s="2"/>
      <c r="BA57" s="3"/>
      <c r="BB57" s="3"/>
      <c r="BC57" s="3"/>
      <c r="BD57" s="4"/>
      <c r="BE57" s="3"/>
      <c r="BF57" s="2"/>
      <c r="BG57" s="3"/>
      <c r="BH57" s="3"/>
      <c r="BI57" s="3"/>
      <c r="BJ57" s="2"/>
      <c r="BK57" s="2"/>
      <c r="BL57" s="5"/>
      <c r="BM57" s="2"/>
      <c r="BN57" s="3"/>
      <c r="BO57" s="3"/>
      <c r="BP57" s="3"/>
      <c r="BQ57" s="4"/>
    </row>
    <row r="58" spans="1:69" s="6" customFormat="1" ht="30" customHeight="1">
      <c r="A58" s="5"/>
      <c r="B58" s="2"/>
      <c r="C58" s="3"/>
      <c r="D58" s="3"/>
      <c r="E58" s="4"/>
      <c r="F58" s="3"/>
      <c r="G58" s="2"/>
      <c r="H58" s="3"/>
      <c r="I58" s="3"/>
      <c r="J58" s="2"/>
      <c r="K58" s="2"/>
      <c r="L58" s="5"/>
      <c r="M58" s="2"/>
      <c r="N58" s="3"/>
      <c r="O58" s="3"/>
      <c r="P58" s="3"/>
      <c r="Q58" s="4"/>
      <c r="R58" s="3"/>
      <c r="S58" s="2"/>
      <c r="T58" s="3"/>
      <c r="U58" s="3"/>
      <c r="V58" s="3"/>
      <c r="W58" s="2"/>
      <c r="X58" s="2"/>
      <c r="Y58" s="5"/>
      <c r="Z58" s="2"/>
      <c r="AA58" s="3"/>
      <c r="AB58" s="3"/>
      <c r="AC58" s="3"/>
      <c r="AD58" s="4"/>
      <c r="AE58" s="3"/>
      <c r="AF58" s="2"/>
      <c r="AG58" s="3"/>
      <c r="AH58" s="3"/>
      <c r="AI58" s="3"/>
      <c r="AJ58" s="2"/>
      <c r="AK58" s="2"/>
      <c r="AL58" s="5"/>
      <c r="AM58" s="2"/>
      <c r="AN58" s="3"/>
      <c r="AO58" s="3"/>
      <c r="AP58" s="3"/>
      <c r="AQ58" s="4"/>
      <c r="AR58" s="3"/>
      <c r="AS58" s="2"/>
      <c r="AT58" s="3"/>
      <c r="AU58" s="3"/>
      <c r="AV58" s="3"/>
      <c r="AW58" s="2"/>
      <c r="AX58" s="2"/>
      <c r="AY58" s="5"/>
      <c r="AZ58" s="2"/>
      <c r="BA58" s="3"/>
      <c r="BB58" s="3"/>
      <c r="BC58" s="3"/>
      <c r="BD58" s="4"/>
      <c r="BE58" s="3"/>
      <c r="BF58" s="2"/>
      <c r="BG58" s="3"/>
      <c r="BH58" s="3"/>
      <c r="BI58" s="3"/>
      <c r="BJ58" s="2"/>
      <c r="BK58" s="2"/>
      <c r="BL58" s="5"/>
      <c r="BM58" s="2"/>
      <c r="BN58" s="3"/>
      <c r="BO58" s="3"/>
      <c r="BP58" s="3"/>
      <c r="BQ58" s="4"/>
    </row>
    <row r="59" spans="1:69" ht="5.0999999999999996" customHeight="1">
      <c r="L59" s="5"/>
      <c r="N59" s="3"/>
      <c r="O59" s="3"/>
      <c r="P59" s="3"/>
      <c r="Q59" s="4"/>
      <c r="R59" s="3"/>
      <c r="T59" s="3"/>
      <c r="U59" s="3"/>
      <c r="V59" s="3"/>
      <c r="Y59" s="5"/>
      <c r="AA59" s="3"/>
      <c r="AB59" s="3"/>
      <c r="AC59" s="3"/>
      <c r="AD59" s="4"/>
      <c r="AE59" s="3"/>
      <c r="AG59" s="3"/>
      <c r="AH59" s="3"/>
      <c r="AI59" s="3"/>
      <c r="AL59" s="5"/>
      <c r="AN59" s="3"/>
      <c r="AO59" s="3"/>
      <c r="AP59" s="3"/>
      <c r="AQ59" s="4"/>
      <c r="AR59" s="3"/>
      <c r="AT59" s="3"/>
      <c r="AU59" s="3"/>
      <c r="AV59" s="3"/>
      <c r="AY59" s="5"/>
      <c r="BA59" s="3"/>
      <c r="BB59" s="3"/>
      <c r="BC59" s="3"/>
      <c r="BD59" s="4"/>
      <c r="BE59" s="3"/>
      <c r="BG59" s="3"/>
      <c r="BH59" s="3"/>
      <c r="BI59" s="3"/>
      <c r="BL59" s="5"/>
      <c r="BN59" s="3"/>
      <c r="BO59" s="3"/>
      <c r="BP59" s="3"/>
      <c r="BQ59" s="4"/>
    </row>
    <row r="60" spans="1:69">
      <c r="L60" s="5"/>
      <c r="N60" s="3"/>
      <c r="O60" s="3"/>
      <c r="P60" s="3"/>
      <c r="Q60" s="4"/>
      <c r="R60" s="3"/>
      <c r="T60" s="3"/>
      <c r="U60" s="3"/>
      <c r="V60" s="3"/>
      <c r="Y60" s="5"/>
      <c r="AA60" s="3"/>
      <c r="AB60" s="3"/>
      <c r="AC60" s="3"/>
      <c r="AD60" s="4"/>
      <c r="AE60" s="3"/>
      <c r="AG60" s="3"/>
      <c r="AH60" s="3"/>
      <c r="AI60" s="3"/>
      <c r="AL60" s="5"/>
      <c r="AN60" s="3"/>
      <c r="AO60" s="3"/>
      <c r="AP60" s="3"/>
      <c r="AQ60" s="4"/>
      <c r="AR60" s="3"/>
      <c r="AT60" s="3"/>
      <c r="AU60" s="3"/>
      <c r="AV60" s="3"/>
      <c r="AY60" s="5"/>
      <c r="BA60" s="3"/>
      <c r="BB60" s="3"/>
      <c r="BC60" s="3"/>
      <c r="BD60" s="4"/>
      <c r="BE60" s="3"/>
      <c r="BG60" s="3"/>
      <c r="BH60" s="3"/>
      <c r="BI60" s="3"/>
      <c r="BL60" s="5"/>
      <c r="BN60" s="3"/>
      <c r="BO60" s="3"/>
      <c r="BP60" s="3"/>
      <c r="BQ60" s="4"/>
    </row>
  </sheetData>
  <sheetProtection formatCells="0" formatColumns="0" formatRows="0" insertRows="0" deleteRows="0"/>
  <autoFilter ref="A11:K58" xr:uid="{00000000-0009-0000-0000-000001000000}"/>
  <mergeCells count="41">
    <mergeCell ref="A24:A26"/>
    <mergeCell ref="A27:A29"/>
    <mergeCell ref="A30:A32"/>
    <mergeCell ref="A12:A13"/>
    <mergeCell ref="A14:A16"/>
    <mergeCell ref="A17:A19"/>
    <mergeCell ref="A20:A21"/>
    <mergeCell ref="A22:A23"/>
    <mergeCell ref="AO9:AU9"/>
    <mergeCell ref="C9:E9"/>
    <mergeCell ref="M8:S8"/>
    <mergeCell ref="T8:Z8"/>
    <mergeCell ref="AA8:AG8"/>
    <mergeCell ref="AH8:AN8"/>
    <mergeCell ref="C8:E8"/>
    <mergeCell ref="A1:BP1"/>
    <mergeCell ref="A2:BP2"/>
    <mergeCell ref="A3:BP3"/>
    <mergeCell ref="A4:BP4"/>
    <mergeCell ref="AV9:BB9"/>
    <mergeCell ref="BC9:BI9"/>
    <mergeCell ref="BJ9:BP9"/>
    <mergeCell ref="AO8:AU8"/>
    <mergeCell ref="AV8:BB8"/>
    <mergeCell ref="BC8:BI8"/>
    <mergeCell ref="BJ8:BP8"/>
    <mergeCell ref="M9:S9"/>
    <mergeCell ref="T9:Z9"/>
    <mergeCell ref="AA9:AG9"/>
    <mergeCell ref="AH9:AN9"/>
    <mergeCell ref="E12:E16"/>
    <mergeCell ref="E17:E19"/>
    <mergeCell ref="E27:E29"/>
    <mergeCell ref="E30:E32"/>
    <mergeCell ref="B27:B32"/>
    <mergeCell ref="B21:B26"/>
    <mergeCell ref="B12:B20"/>
    <mergeCell ref="C12:C32"/>
    <mergeCell ref="D27:D32"/>
    <mergeCell ref="D17:D19"/>
    <mergeCell ref="D12:D16"/>
  </mergeCells>
  <conditionalFormatting sqref="J12:J32">
    <cfRule type="dataBar" priority="13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{876412EC-6288-49AA-B627-7B63BCEF3F1E}</x14:id>
        </ext>
      </extLst>
    </cfRule>
  </conditionalFormatting>
  <conditionalFormatting sqref="M10:BP11">
    <cfRule type="expression" dxfId="6" priority="14">
      <formula>M$10=TODAY()</formula>
    </cfRule>
  </conditionalFormatting>
  <conditionalFormatting sqref="M10:BP26 M27:AQ32 AS27:BP32">
    <cfRule type="expression" dxfId="5" priority="1">
      <formula>M$10=TODAY()</formula>
    </cfRule>
  </conditionalFormatting>
  <conditionalFormatting sqref="M12:BP26 M27:AQ32 AS27:BP32">
    <cfRule type="expression" dxfId="4" priority="20">
      <formula>AND($H12&lt;=M$10,ROUNDDOWN(($I12-$H12+1)*$J12,0)+$H12-1&gt;=M$10)</formula>
    </cfRule>
    <cfRule type="expression" dxfId="3" priority="21">
      <formula>AND(NOT(ISBLANK($H12)),$H12&lt;=M$10,$I12&gt;=M$10)</formula>
    </cfRule>
  </conditionalFormatting>
  <conditionalFormatting sqref="AR27:AR32">
    <cfRule type="expression" dxfId="2" priority="26">
      <formula>AS$10=TODAY()</formula>
    </cfRule>
    <cfRule type="expression" dxfId="1" priority="27">
      <formula>AND($H27&lt;=AS$10,ROUNDDOWN(($I27-$H27+1)*$J27,0)+$H27-1&gt;=AS$10)</formula>
    </cfRule>
    <cfRule type="expression" dxfId="0" priority="28">
      <formula>AND(NOT(ISBLANK($H27)),$H27&lt;=AS$10,$I27&gt;=AS$10)</formula>
    </cfRule>
  </conditionalFormatting>
  <dataValidations count="1">
    <dataValidation allowBlank="1" showInputMessage="1" promptTitle="Display Week" prompt="Enter the week number to display first in the Gantt Chart. The weeks are numbered starting from the week containing the Project Start Date." sqref="J8" xr:uid="{00000000-0002-0000-0100-000000000000}"/>
  </dataValidations>
  <printOptions horizontalCentered="1"/>
  <pageMargins left="0.39370078740157483" right="0.39370078740157483" top="0.39370078740157483" bottom="0.39370078740157483" header="0" footer="0"/>
  <pageSetup scale="35" fitToHeight="0" pageOrder="overThenDown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Scroll Bar 1">
              <controlPr defaultSize="0" print="0" autoPict="0">
                <anchor moveWithCells="1">
                  <from>
                    <xdr:col>11</xdr:col>
                    <xdr:colOff>99060</xdr:colOff>
                    <xdr:row>5</xdr:row>
                    <xdr:rowOff>68580</xdr:rowOff>
                  </from>
                  <to>
                    <xdr:col>29</xdr:col>
                    <xdr:colOff>152400</xdr:colOff>
                    <xdr:row>6</xdr:row>
                    <xdr:rowOff>68580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6412EC-6288-49AA-B627-7B63BCEF3F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J12:J32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Hoja1</vt:lpstr>
      <vt:lpstr>Cronograma de Actividades</vt:lpstr>
      <vt:lpstr>'Cronograma de Actividades'!Área_de_impresión</vt:lpstr>
      <vt:lpstr>'Cronograma de Actividades'!prevWBS</vt:lpstr>
      <vt:lpstr>'Cronograma de Actividades'!Títulos_a_imprimir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Cifuentes</dc:creator>
  <cp:lastModifiedBy>Cristian Cifuentes</cp:lastModifiedBy>
  <dcterms:created xsi:type="dcterms:W3CDTF">2025-08-06T20:14:16Z</dcterms:created>
  <dcterms:modified xsi:type="dcterms:W3CDTF">2025-09-18T23:31:02Z</dcterms:modified>
</cp:coreProperties>
</file>